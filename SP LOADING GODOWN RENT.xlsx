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m\OneDrive\Desktop\BILLING MIKLVAN\"/>
    </mc:Choice>
  </mc:AlternateContent>
  <xr:revisionPtr revIDLastSave="0" documentId="13_ncr:1_{FC1A3EBF-BF2C-47E5-83C8-8BD8A21D6274}" xr6:coauthVersionLast="47" xr6:coauthVersionMax="47" xr10:uidLastSave="{00000000-0000-0000-0000-000000000000}"/>
  <bookViews>
    <workbookView xWindow="-120" yWindow="-120" windowWidth="24240" windowHeight="13020" activeTab="3" xr2:uid="{5A584C6D-E432-4483-93DB-17F8AD03F6F5}"/>
  </bookViews>
  <sheets>
    <sheet name="SP" sheetId="1" r:id="rId1"/>
    <sheet name="LOADING" sheetId="2" r:id="rId2"/>
    <sheet name="GODOWN" sheetId="3" r:id="rId3"/>
    <sheet name="R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2" l="1"/>
  <c r="L24" i="2" s="1"/>
  <c r="N113" i="2"/>
  <c r="L113" i="2"/>
  <c r="I113" i="2"/>
  <c r="J113" i="2" s="1"/>
  <c r="I112" i="2"/>
  <c r="N112" i="2" s="1"/>
  <c r="I117" i="1"/>
  <c r="N117" i="1" s="1"/>
  <c r="I116" i="1"/>
  <c r="J116" i="1" s="1"/>
  <c r="I115" i="1"/>
  <c r="N115" i="1" s="1"/>
  <c r="I114" i="1"/>
  <c r="N114" i="1" s="1"/>
  <c r="I72" i="1"/>
  <c r="N72" i="1" s="1"/>
  <c r="I71" i="1"/>
  <c r="L71" i="1" s="1"/>
  <c r="I70" i="1"/>
  <c r="J70" i="1" s="1"/>
  <c r="I69" i="1"/>
  <c r="N69" i="1" s="1"/>
  <c r="I27" i="1"/>
  <c r="N27" i="1" s="1"/>
  <c r="I26" i="1"/>
  <c r="N26" i="1" s="1"/>
  <c r="I25" i="1"/>
  <c r="N25" i="1" s="1"/>
  <c r="I24" i="1"/>
  <c r="N24" i="1" s="1"/>
  <c r="I23" i="1"/>
  <c r="N23" i="1" s="1"/>
  <c r="M21" i="4"/>
  <c r="M23" i="4" s="1"/>
  <c r="K21" i="4"/>
  <c r="K23" i="4" s="1"/>
  <c r="I21" i="4"/>
  <c r="I23" i="4" s="1"/>
  <c r="N24" i="4" s="1"/>
  <c r="G20" i="3"/>
  <c r="K20" i="3" s="1"/>
  <c r="K23" i="3" s="1"/>
  <c r="J24" i="2" l="1"/>
  <c r="N24" i="2"/>
  <c r="O24" i="2"/>
  <c r="N115" i="2"/>
  <c r="J112" i="2"/>
  <c r="J115" i="2" s="1"/>
  <c r="O116" i="2" s="1"/>
  <c r="L112" i="2"/>
  <c r="L115" i="2" s="1"/>
  <c r="L69" i="1"/>
  <c r="N71" i="1"/>
  <c r="L116" i="1"/>
  <c r="J117" i="1"/>
  <c r="L117" i="1"/>
  <c r="J115" i="1"/>
  <c r="N116" i="1"/>
  <c r="O116" i="1" s="1"/>
  <c r="J114" i="1"/>
  <c r="J119" i="1" s="1"/>
  <c r="O120" i="1" s="1"/>
  <c r="L114" i="1"/>
  <c r="L115" i="1"/>
  <c r="O115" i="1" s="1"/>
  <c r="L72" i="1"/>
  <c r="L70" i="1"/>
  <c r="J72" i="1"/>
  <c r="J69" i="1"/>
  <c r="N70" i="1"/>
  <c r="J71" i="1"/>
  <c r="O71" i="1" s="1"/>
  <c r="N29" i="1"/>
  <c r="J26" i="1"/>
  <c r="L23" i="1"/>
  <c r="J23" i="1"/>
  <c r="L26" i="1"/>
  <c r="O26" i="1" s="1"/>
  <c r="J27" i="1"/>
  <c r="J24" i="1"/>
  <c r="L27" i="1"/>
  <c r="L24" i="1"/>
  <c r="O24" i="1" s="1"/>
  <c r="J25" i="1"/>
  <c r="L25" i="1"/>
  <c r="O25" i="1" s="1"/>
  <c r="N25" i="4"/>
  <c r="N26" i="4" s="1"/>
  <c r="N21" i="4"/>
  <c r="L20" i="3"/>
  <c r="L24" i="3" s="1"/>
  <c r="I20" i="3"/>
  <c r="I23" i="3" s="1"/>
  <c r="L25" i="3" s="1"/>
  <c r="I69" i="2"/>
  <c r="N69" i="2" s="1"/>
  <c r="I68" i="2"/>
  <c r="L68" i="2" s="1"/>
  <c r="I23" i="2"/>
  <c r="J23" i="2" s="1"/>
  <c r="L74" i="1" l="1"/>
  <c r="O69" i="1"/>
  <c r="O112" i="2"/>
  <c r="O117" i="2"/>
  <c r="O118" i="2" s="1"/>
  <c r="O70" i="1"/>
  <c r="L119" i="1"/>
  <c r="N119" i="1"/>
  <c r="O121" i="1" s="1"/>
  <c r="O122" i="1" s="1"/>
  <c r="O114" i="1"/>
  <c r="J74" i="1"/>
  <c r="O75" i="1" s="1"/>
  <c r="N74" i="1"/>
  <c r="O76" i="1" s="1"/>
  <c r="L29" i="1"/>
  <c r="O23" i="1"/>
  <c r="O31" i="1"/>
  <c r="J29" i="1"/>
  <c r="O30" i="1" s="1"/>
  <c r="O32" i="1" s="1"/>
  <c r="L26" i="3"/>
  <c r="J68" i="2"/>
  <c r="N68" i="2"/>
  <c r="J69" i="2"/>
  <c r="L69" i="2"/>
  <c r="L71" i="2" s="1"/>
  <c r="L23" i="2"/>
  <c r="N23" i="2"/>
  <c r="J26" i="2"/>
  <c r="O27" i="2" s="1"/>
  <c r="O77" i="1" l="1"/>
  <c r="N71" i="2"/>
  <c r="O73" i="2" s="1"/>
  <c r="O68" i="2"/>
  <c r="J71" i="2"/>
  <c r="O72" i="2" s="1"/>
  <c r="O74" i="2" s="1"/>
  <c r="N26" i="2"/>
  <c r="O23" i="2"/>
  <c r="L26" i="2"/>
  <c r="O28" i="2" l="1"/>
  <c r="O29" i="2" s="1"/>
</calcChain>
</file>

<file path=xl/sharedStrings.xml><?xml version="1.0" encoding="utf-8"?>
<sst xmlns="http://schemas.openxmlformats.org/spreadsheetml/2006/main" count="432" uniqueCount="112">
  <si>
    <t>PARAMVEER CEMENT STORE</t>
  </si>
  <si>
    <t>ADDRESS = BEHLOLPUR ROAD SAMRALA</t>
  </si>
  <si>
    <t xml:space="preserve">GSTIN- 03EVJPS6275M1ZT </t>
  </si>
  <si>
    <t>Details of Receiver :-JK CEMENT LTD</t>
  </si>
  <si>
    <t>Name :-JK CEMENT LTD</t>
  </si>
  <si>
    <t>Address :-SCO NO.11-12,PUDA COMPLEX,OPP.CIVIL HOSPITAL,</t>
  </si>
  <si>
    <t>FIELD GUNJ,LUDHIANA-141003(PUNJAB)</t>
  </si>
  <si>
    <t>Place of Supply :-PUNJAB</t>
  </si>
  <si>
    <t>State :-PUNJAB</t>
  </si>
  <si>
    <t xml:space="preserve">    DEPOT NAME- SAMRALA</t>
  </si>
  <si>
    <t>State Code :-03</t>
  </si>
  <si>
    <t xml:space="preserve">GSTIN/Unique ID :-03AABCJ0355R1ZH </t>
  </si>
  <si>
    <t>GSTN number of respective State- PUNJAB</t>
  </si>
  <si>
    <t>DEAR SIRS,</t>
  </si>
  <si>
    <t>AS PER CONTRACT PLEASE REIMBURSE US THE FOLLOWING SALES &amp;  SALES ADDITIONAL</t>
  </si>
  <si>
    <t>SR. No</t>
  </si>
  <si>
    <t>Description of Services</t>
  </si>
  <si>
    <t>HSN/SAC Code</t>
  </si>
  <si>
    <t>MAT DESCRIPTION CEMENT</t>
  </si>
  <si>
    <t>Qty</t>
  </si>
  <si>
    <t>UOM</t>
  </si>
  <si>
    <t>Rate</t>
  </si>
  <si>
    <t>Amount</t>
  </si>
  <si>
    <t>Taxable Amount</t>
  </si>
  <si>
    <t>CGST</t>
  </si>
  <si>
    <t>SGST</t>
  </si>
  <si>
    <t>TOTAL</t>
  </si>
  <si>
    <t xml:space="preserve">RATE </t>
  </si>
  <si>
    <t>AMOUNT</t>
  </si>
  <si>
    <t xml:space="preserve">SALES COMMISSION </t>
  </si>
  <si>
    <t>JHR-DEPOT SALE</t>
  </si>
  <si>
    <t>MT</t>
  </si>
  <si>
    <t>JHR-DEPOT SALE-SUPER STRONG</t>
  </si>
  <si>
    <t>JHR-DIR PLANT SALE</t>
  </si>
  <si>
    <t xml:space="preserve">JHR-OTHER DEPOT SALE </t>
  </si>
  <si>
    <t>Total Amount Before Tax                  :</t>
  </si>
  <si>
    <t>Sales Commission = 40</t>
  </si>
  <si>
    <t>Total Amount : GST                               :</t>
  </si>
  <si>
    <t>Total Amount After Tax                      :</t>
  </si>
  <si>
    <t xml:space="preserve">       Declaration:  We hereby declare  that </t>
  </si>
  <si>
    <t>We have Filed GST Return (GSTR3B, GSTR1 etc) for the given period of our firm.</t>
  </si>
  <si>
    <t>Return</t>
  </si>
  <si>
    <t xml:space="preserve">Month </t>
  </si>
  <si>
    <t>GSTR3B</t>
  </si>
  <si>
    <t>Authorised Signatory</t>
  </si>
  <si>
    <t>GSTR1</t>
  </si>
  <si>
    <t>Invoice</t>
  </si>
  <si>
    <t>DEPOT NAME- SAMRALA</t>
  </si>
  <si>
    <t>AS PER CONTRACT PLEASE REIMBURSE US THE FOLLOWING LOADING/UNLOADING</t>
  </si>
  <si>
    <t>Sl. No</t>
  </si>
  <si>
    <t>Load/Unload/Serv Chgs</t>
  </si>
  <si>
    <t>JHARLI</t>
  </si>
  <si>
    <t>JHARLI S.S</t>
  </si>
  <si>
    <t>ADDRESS= BEHLOLPUR ROAD SAMRALA</t>
  </si>
  <si>
    <t>GSTIN- 03EVJPS6275M1ZT</t>
  </si>
  <si>
    <t>Address :SCO 11-12,PUDA COMPLEX OPP.CIVIL HOSPITAL FEILD GUNJ LUDHIANA 141003</t>
  </si>
  <si>
    <t>HANDLING  Fixed Expense (GODOWN EXP.)</t>
  </si>
  <si>
    <t>Samrala</t>
  </si>
  <si>
    <t xml:space="preserve">   Declaration:  We hereby declare  that </t>
  </si>
  <si>
    <t>For Name of Vendor</t>
  </si>
  <si>
    <t>GSTN number of respective State :- 03AXJPS6675H1Z0</t>
  </si>
  <si>
    <t>Declaraton-:We hereby declare that</t>
  </si>
  <si>
    <t>we have filed GST Retrun (GSTR3B,GSTR1 etc)for the given period of our firm.</t>
  </si>
  <si>
    <t>Retrun</t>
  </si>
  <si>
    <t>Month</t>
  </si>
  <si>
    <t xml:space="preserve">       DEPOT NAME- SAMRALA</t>
  </si>
  <si>
    <t>JHARLI SOW</t>
  </si>
  <si>
    <t>Date of Invoice :- 12.01.2026</t>
  </si>
  <si>
    <t>NOV'25</t>
  </si>
  <si>
    <t>CHARGES FOR THE MONTH OF DECEMBER 2025</t>
  </si>
  <si>
    <t>Serial No of Invoice :- P-827</t>
  </si>
  <si>
    <t>Total Amount –( TWO THOUSEND TWENTY NINE ONLY  )</t>
  </si>
  <si>
    <t>Date of Invoice :- 13.02.2026</t>
  </si>
  <si>
    <t>DEC'25</t>
  </si>
  <si>
    <t>Serial No of Invoice :- P-936</t>
  </si>
  <si>
    <t>CHARGES FOR THE MONTH OF  JANUARY  2026</t>
  </si>
  <si>
    <t>Total Amount –( ONE THOUSEND THREE HUNDRED FIFTY SEVEN ONLY)</t>
  </si>
  <si>
    <t>Total Amount – ( SEVENTEEN THOUSEND SEVEN HUNDRED ONLY)</t>
  </si>
  <si>
    <t>JAN'25</t>
  </si>
  <si>
    <t>Date of Invoice :-  09.03.2026</t>
  </si>
  <si>
    <t>Serial No of Invoice :-P-1018</t>
  </si>
  <si>
    <t>HUB-MNG</t>
  </si>
  <si>
    <t>Total Amount –( THREE HUNDRED FURTY SIX ONLY )</t>
  </si>
  <si>
    <t>COMMISSION CHARGES FOR THE MONTH OF FEBRUARY 2026</t>
  </si>
  <si>
    <t>Serial No of Invoice :- P-1102</t>
  </si>
  <si>
    <t>Date of Invoice :- 31.03.2026</t>
  </si>
  <si>
    <t>COMMISSION CHARGES FOR THE MONTH OF MARCH  2026</t>
  </si>
  <si>
    <t>Add.Sales Commission = 13</t>
  </si>
  <si>
    <t>Total= 53</t>
  </si>
  <si>
    <t>Total Amount – ( FORTY ONE  THOUSEND SEVEN  HUNDRED SEVENTY SIX ONLY )</t>
  </si>
  <si>
    <t>FEB'26</t>
  </si>
  <si>
    <t>JHARLI-DIR</t>
  </si>
  <si>
    <t>Sales Commission- 40</t>
  </si>
  <si>
    <t>Add.Sales Commission- 13</t>
  </si>
  <si>
    <t xml:space="preserve">Total= </t>
  </si>
  <si>
    <t>Serial No of Invoice :-P-1103</t>
  </si>
  <si>
    <t>Date of Invoice :-  31.03.2026</t>
  </si>
  <si>
    <t xml:space="preserve">COMMISSION CHARGES FOR THE MONTH OF MARCH 2026 </t>
  </si>
  <si>
    <t>Serial No of Invoice :- P-1104</t>
  </si>
  <si>
    <t>CHARGES FOR THE MONTH OF MARCH  2026</t>
  </si>
  <si>
    <t>Total Amount –( FIFTY SIX  THOUSEND FIVE HUNDRED TWENTY TWO ONLY )</t>
  </si>
  <si>
    <t>Serial No of Invoice :- P-1108</t>
  </si>
  <si>
    <t>HANDLING Fixed Expense (GODOWN EXP.)MONTH OF MARCH 2026</t>
  </si>
  <si>
    <t>Sales Commission- 70</t>
  </si>
  <si>
    <t>Total= 83</t>
  </si>
  <si>
    <t>Total Amount –( EIGHT THOUSEND FOUR HUNDRED TWENTY TWO ONLY )</t>
  </si>
  <si>
    <t>Serial No of Invoice :- 01</t>
  </si>
  <si>
    <t>Date of Invoice :- 06.04.2026</t>
  </si>
  <si>
    <t xml:space="preserve">SUB:  Godown Rent for the PERIOD 01 APRIL TO 30 APRIL 2026 </t>
  </si>
  <si>
    <t xml:space="preserve">Godown Rent for the month of APRIL 2026  </t>
  </si>
  <si>
    <t>MAR'26</t>
  </si>
  <si>
    <r>
      <t>Total Amount – ( 19514.84</t>
    </r>
    <r>
      <rPr>
        <b/>
        <sz val="12"/>
        <color indexed="8"/>
        <rFont val="Times New Roman"/>
        <family val="1"/>
      </rPr>
      <t xml:space="preserve"> 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</si>
</sst>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Times New Roman"/>
      <family val="1"/>
    </font>
    <font>
      <b/>
      <sz val="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Arial"/>
      <family val="2"/>
    </font>
    <font>
      <b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243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9" fillId="0" borderId="0" xfId="2" applyFont="1"/>
    <xf numFmtId="0" fontId="9" fillId="0" borderId="0" xfId="2" applyFont="1" applyAlignment="1">
      <alignment horizontal="center"/>
    </xf>
    <xf numFmtId="0" fontId="5" fillId="0" borderId="12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10" fillId="0" borderId="14" xfId="0" applyFont="1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43" fontId="5" fillId="0" borderId="14" xfId="1" applyFont="1" applyBorder="1" applyAlignment="1">
      <alignment vertical="center" wrapText="1" shrinkToFit="1"/>
    </xf>
    <xf numFmtId="43" fontId="5" fillId="0" borderId="14" xfId="1" applyFont="1" applyBorder="1" applyAlignment="1">
      <alignment horizontal="right" vertical="center" wrapText="1" shrinkToFit="1"/>
    </xf>
    <xf numFmtId="9" fontId="0" fillId="0" borderId="14" xfId="0" applyNumberFormat="1" applyBorder="1"/>
    <xf numFmtId="43" fontId="1" fillId="0" borderId="14" xfId="1" applyFont="1" applyBorder="1"/>
    <xf numFmtId="43" fontId="5" fillId="0" borderId="14" xfId="1" applyFont="1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43" fontId="1" fillId="0" borderId="16" xfId="1" applyFont="1" applyBorder="1"/>
    <xf numFmtId="43" fontId="5" fillId="0" borderId="20" xfId="1" applyFont="1" applyBorder="1" applyAlignment="1">
      <alignment vertical="center" wrapText="1" shrinkToFit="1"/>
    </xf>
    <xf numFmtId="43" fontId="5" fillId="0" borderId="20" xfId="1" applyFont="1" applyBorder="1" applyAlignment="1">
      <alignment horizontal="right" vertical="center" wrapText="1" shrinkToFit="1"/>
    </xf>
    <xf numFmtId="9" fontId="0" fillId="0" borderId="20" xfId="0" applyNumberFormat="1" applyBorder="1"/>
    <xf numFmtId="43" fontId="1" fillId="0" borderId="21" xfId="1" applyFont="1" applyBorder="1"/>
    <xf numFmtId="0" fontId="0" fillId="0" borderId="0" xfId="0" applyAlignment="1">
      <alignment vertical="center"/>
    </xf>
    <xf numFmtId="43" fontId="1" fillId="0" borderId="24" xfId="1" applyFont="1" applyBorder="1" applyAlignment="1"/>
    <xf numFmtId="43" fontId="1" fillId="0" borderId="28" xfId="1" applyFont="1" applyBorder="1" applyAlignment="1"/>
    <xf numFmtId="43" fontId="2" fillId="0" borderId="29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43" fontId="2" fillId="0" borderId="0" xfId="1" applyFont="1" applyFill="1" applyBorder="1" applyAlignment="1">
      <alignment horizontal="center"/>
    </xf>
    <xf numFmtId="0" fontId="12" fillId="0" borderId="30" xfId="0" applyFon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left"/>
    </xf>
    <xf numFmtId="15" fontId="2" fillId="0" borderId="0" xfId="0" applyNumberFormat="1" applyFont="1"/>
    <xf numFmtId="0" fontId="5" fillId="0" borderId="20" xfId="0" applyFont="1" applyBorder="1"/>
    <xf numFmtId="0" fontId="0" fillId="0" borderId="38" xfId="0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39" xfId="0" applyBorder="1" applyAlignment="1">
      <alignment horizontal="center" vertical="center"/>
    </xf>
    <xf numFmtId="43" fontId="5" fillId="0" borderId="39" xfId="1" applyFont="1" applyBorder="1" applyAlignment="1">
      <alignment vertical="center" wrapText="1" shrinkToFit="1"/>
    </xf>
    <xf numFmtId="43" fontId="5" fillId="0" borderId="39" xfId="1" applyFont="1" applyBorder="1" applyAlignment="1">
      <alignment horizontal="right" vertical="center" wrapText="1" shrinkToFit="1"/>
    </xf>
    <xf numFmtId="9" fontId="0" fillId="0" borderId="39" xfId="0" applyNumberFormat="1" applyBorder="1"/>
    <xf numFmtId="43" fontId="1" fillId="0" borderId="39" xfId="1" applyFont="1" applyBorder="1"/>
    <xf numFmtId="43" fontId="1" fillId="0" borderId="40" xfId="1" applyFont="1" applyBorder="1"/>
    <xf numFmtId="0" fontId="3" fillId="0" borderId="0" xfId="0" applyFont="1"/>
    <xf numFmtId="0" fontId="4" fillId="0" borderId="0" xfId="0" applyFont="1"/>
    <xf numFmtId="0" fontId="13" fillId="0" borderId="0" xfId="0" applyFont="1"/>
    <xf numFmtId="0" fontId="0" fillId="0" borderId="30" xfId="0" applyBorder="1" applyAlignment="1">
      <alignment horizontal="center" vertical="center"/>
    </xf>
    <xf numFmtId="0" fontId="11" fillId="0" borderId="31" xfId="0" applyFont="1" applyBorder="1"/>
    <xf numFmtId="0" fontId="11" fillId="0" borderId="32" xfId="0" applyFont="1" applyBorder="1"/>
    <xf numFmtId="0" fontId="6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7" fillId="0" borderId="0" xfId="0" applyFont="1"/>
    <xf numFmtId="0" fontId="14" fillId="0" borderId="22" xfId="0" applyFont="1" applyBorder="1"/>
    <xf numFmtId="0" fontId="14" fillId="0" borderId="23" xfId="0" applyFont="1" applyBorder="1"/>
    <xf numFmtId="0" fontId="14" fillId="0" borderId="6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19" xfId="0" applyFont="1" applyBorder="1"/>
    <xf numFmtId="43" fontId="14" fillId="0" borderId="29" xfId="1" applyFont="1" applyFill="1" applyBorder="1" applyAlignment="1">
      <alignment horizontal="center"/>
    </xf>
    <xf numFmtId="43" fontId="14" fillId="0" borderId="0" xfId="1" applyFont="1" applyFill="1" applyBorder="1" applyAlignment="1">
      <alignment horizontal="center"/>
    </xf>
    <xf numFmtId="0" fontId="14" fillId="0" borderId="31" xfId="0" applyFont="1" applyBorder="1"/>
    <xf numFmtId="0" fontId="14" fillId="0" borderId="32" xfId="0" applyFont="1" applyBorder="1"/>
    <xf numFmtId="15" fontId="14" fillId="0" borderId="0" xfId="0" applyNumberFormat="1" applyFont="1"/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12" xfId="0" applyFont="1" applyBorder="1"/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wrapText="1"/>
    </xf>
    <xf numFmtId="0" fontId="18" fillId="0" borderId="14" xfId="0" applyFont="1" applyBorder="1" applyAlignment="1">
      <alignment vertical="center"/>
    </xf>
    <xf numFmtId="43" fontId="14" fillId="0" borderId="14" xfId="1" applyFont="1" applyBorder="1" applyAlignment="1">
      <alignment horizontal="center" vertical="center" wrapText="1" shrinkToFit="1"/>
    </xf>
    <xf numFmtId="43" fontId="14" fillId="0" borderId="14" xfId="1" applyFont="1" applyBorder="1" applyAlignment="1">
      <alignment vertical="center" wrapText="1" shrinkToFit="1"/>
    </xf>
    <xf numFmtId="43" fontId="14" fillId="0" borderId="14" xfId="1" applyFont="1" applyBorder="1" applyAlignment="1">
      <alignment horizontal="right" vertical="center" wrapText="1" shrinkToFit="1"/>
    </xf>
    <xf numFmtId="9" fontId="14" fillId="0" borderId="14" xfId="0" applyNumberFormat="1" applyFont="1" applyBorder="1"/>
    <xf numFmtId="43" fontId="14" fillId="0" borderId="14" xfId="1" applyFont="1" applyBorder="1"/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43" fontId="14" fillId="0" borderId="16" xfId="1" applyFont="1" applyBorder="1"/>
    <xf numFmtId="43" fontId="14" fillId="0" borderId="20" xfId="1" applyFont="1" applyBorder="1" applyAlignment="1">
      <alignment vertical="center" wrapText="1" shrinkToFit="1"/>
    </xf>
    <xf numFmtId="43" fontId="14" fillId="0" borderId="20" xfId="1" applyFont="1" applyBorder="1" applyAlignment="1">
      <alignment horizontal="right" vertical="center" wrapText="1" shrinkToFit="1"/>
    </xf>
    <xf numFmtId="9" fontId="14" fillId="0" borderId="20" xfId="0" applyNumberFormat="1" applyFont="1" applyBorder="1"/>
    <xf numFmtId="43" fontId="14" fillId="0" borderId="21" xfId="1" applyFont="1" applyBorder="1"/>
    <xf numFmtId="43" fontId="14" fillId="0" borderId="24" xfId="1" applyFont="1" applyBorder="1" applyAlignment="1"/>
    <xf numFmtId="43" fontId="14" fillId="0" borderId="28" xfId="1" applyFont="1" applyBorder="1" applyAlignment="1"/>
    <xf numFmtId="0" fontId="19" fillId="0" borderId="30" xfId="0" applyFont="1" applyBorder="1" applyAlignment="1">
      <alignment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6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16" fillId="0" borderId="0" xfId="0" applyFont="1"/>
    <xf numFmtId="0" fontId="14" fillId="0" borderId="20" xfId="0" applyFont="1" applyBorder="1"/>
    <xf numFmtId="0" fontId="14" fillId="0" borderId="38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4" fillId="0" borderId="39" xfId="0" applyFont="1" applyBorder="1" applyAlignment="1">
      <alignment horizontal="center" vertical="center"/>
    </xf>
    <xf numFmtId="43" fontId="14" fillId="0" borderId="39" xfId="1" applyFont="1" applyBorder="1" applyAlignment="1">
      <alignment vertical="center" wrapText="1" shrinkToFit="1"/>
    </xf>
    <xf numFmtId="43" fontId="14" fillId="0" borderId="39" xfId="1" applyFont="1" applyBorder="1" applyAlignment="1">
      <alignment horizontal="right" vertical="center" wrapText="1" shrinkToFit="1"/>
    </xf>
    <xf numFmtId="9" fontId="14" fillId="0" borderId="39" xfId="0" applyNumberFormat="1" applyFont="1" applyBorder="1"/>
    <xf numFmtId="43" fontId="14" fillId="0" borderId="39" xfId="1" applyFont="1" applyBorder="1"/>
    <xf numFmtId="43" fontId="14" fillId="0" borderId="40" xfId="1" applyFont="1" applyBorder="1"/>
    <xf numFmtId="0" fontId="18" fillId="0" borderId="0" xfId="0" applyFont="1" applyAlignment="1">
      <alignment horizontal="center" vertical="center"/>
    </xf>
    <xf numFmtId="0" fontId="14" fillId="0" borderId="39" xfId="0" applyFont="1" applyBorder="1" applyAlignment="1">
      <alignment vertical="center"/>
    </xf>
    <xf numFmtId="9" fontId="14" fillId="0" borderId="39" xfId="0" applyNumberFormat="1" applyFont="1" applyBorder="1" applyAlignment="1">
      <alignment vertical="center"/>
    </xf>
    <xf numFmtId="43" fontId="14" fillId="0" borderId="39" xfId="1" applyFont="1" applyBorder="1" applyAlignment="1">
      <alignment vertical="center"/>
    </xf>
    <xf numFmtId="43" fontId="14" fillId="0" borderId="40" xfId="1" applyFont="1" applyBorder="1" applyAlignment="1">
      <alignment vertical="center"/>
    </xf>
    <xf numFmtId="0" fontId="20" fillId="0" borderId="0" xfId="0" applyFont="1" applyAlignment="1">
      <alignment horizontal="left"/>
    </xf>
    <xf numFmtId="0" fontId="14" fillId="0" borderId="5" xfId="0" applyFont="1" applyBorder="1" applyAlignment="1">
      <alignment horizontal="center" wrapText="1"/>
    </xf>
    <xf numFmtId="0" fontId="18" fillId="0" borderId="14" xfId="0" applyFont="1" applyBorder="1" applyAlignment="1">
      <alignment horizontal="center" vertical="center"/>
    </xf>
    <xf numFmtId="43" fontId="14" fillId="0" borderId="39" xfId="1" applyFont="1" applyFill="1" applyBorder="1" applyAlignment="1">
      <alignment vertical="center" wrapText="1" shrinkToFit="1"/>
    </xf>
    <xf numFmtId="43" fontId="14" fillId="0" borderId="39" xfId="1" applyFont="1" applyFill="1" applyBorder="1" applyAlignment="1">
      <alignment horizontal="right" vertical="center" wrapText="1" shrinkToFit="1"/>
    </xf>
    <xf numFmtId="43" fontId="14" fillId="0" borderId="39" xfId="1" applyFont="1" applyFill="1" applyBorder="1" applyAlignment="1">
      <alignment vertical="center"/>
    </xf>
    <xf numFmtId="43" fontId="14" fillId="0" borderId="40" xfId="1" applyFont="1" applyFill="1" applyBorder="1" applyAlignment="1">
      <alignment vertical="center"/>
    </xf>
    <xf numFmtId="0" fontId="14" fillId="0" borderId="41" xfId="0" applyFont="1" applyBorder="1" applyAlignment="1">
      <alignment horizontal="center" wrapText="1"/>
    </xf>
    <xf numFmtId="43" fontId="14" fillId="0" borderId="14" xfId="1" applyFont="1" applyFill="1" applyBorder="1" applyAlignment="1">
      <alignment vertical="center" wrapText="1" shrinkToFit="1"/>
    </xf>
    <xf numFmtId="43" fontId="14" fillId="0" borderId="14" xfId="1" applyFont="1" applyFill="1" applyBorder="1" applyAlignment="1">
      <alignment horizontal="right" vertical="center" wrapText="1" shrinkToFit="1"/>
    </xf>
    <xf numFmtId="43" fontId="14" fillId="0" borderId="14" xfId="1" applyFont="1" applyFill="1" applyBorder="1"/>
    <xf numFmtId="43" fontId="14" fillId="0" borderId="16" xfId="1" applyFont="1" applyFill="1" applyBorder="1"/>
    <xf numFmtId="43" fontId="14" fillId="0" borderId="20" xfId="1" applyFont="1" applyFill="1" applyBorder="1" applyAlignment="1">
      <alignment vertical="center" wrapText="1" shrinkToFit="1"/>
    </xf>
    <xf numFmtId="43" fontId="14" fillId="0" borderId="20" xfId="1" applyFont="1" applyFill="1" applyBorder="1" applyAlignment="1">
      <alignment horizontal="right" vertical="center" wrapText="1" shrinkToFit="1"/>
    </xf>
    <xf numFmtId="43" fontId="14" fillId="0" borderId="21" xfId="1" applyFont="1" applyFill="1" applyBorder="1"/>
    <xf numFmtId="43" fontId="14" fillId="0" borderId="24" xfId="1" applyFont="1" applyFill="1" applyBorder="1" applyAlignment="1"/>
    <xf numFmtId="43" fontId="14" fillId="0" borderId="28" xfId="1" applyFont="1" applyFill="1" applyBorder="1" applyAlignment="1"/>
    <xf numFmtId="0" fontId="14" fillId="0" borderId="22" xfId="0" applyFont="1" applyBorder="1"/>
    <xf numFmtId="0" fontId="14" fillId="0" borderId="23" xfId="0" applyFont="1" applyBorder="1"/>
    <xf numFmtId="0" fontId="14" fillId="0" borderId="6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19" xfId="0" applyFont="1" applyBorder="1"/>
    <xf numFmtId="0" fontId="14" fillId="0" borderId="4" xfId="0" applyFont="1" applyBorder="1" applyAlignment="1">
      <alignment horizontal="center" vertical="center" wrapText="1" shrinkToFit="1"/>
    </xf>
    <xf numFmtId="0" fontId="14" fillId="0" borderId="36" xfId="0" applyFont="1" applyBorder="1" applyAlignment="1">
      <alignment horizontal="center" vertical="center" wrapText="1" shrinkToFi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17" xfId="0" applyFont="1" applyBorder="1" applyAlignment="1">
      <alignment horizontal="right" vertical="center"/>
    </xf>
    <xf numFmtId="0" fontId="14" fillId="0" borderId="18" xfId="0" applyFont="1" applyBorder="1" applyAlignment="1">
      <alignment horizontal="right" vertical="center"/>
    </xf>
    <xf numFmtId="0" fontId="14" fillId="0" borderId="19" xfId="0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 shrinkToFit="1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22" xfId="0" applyFont="1" applyBorder="1"/>
    <xf numFmtId="0" fontId="11" fillId="0" borderId="23" xfId="0" applyFont="1" applyBorder="1"/>
    <xf numFmtId="0" fontId="11" fillId="0" borderId="6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0" fillId="0" borderId="14" xfId="0" applyBorder="1" applyAlignment="1">
      <alignment horizont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41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5" fillId="0" borderId="4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 shrinkToFit="1"/>
    </xf>
    <xf numFmtId="0" fontId="5" fillId="0" borderId="39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0" fillId="0" borderId="39" xfId="0" applyBorder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 shrinkToFit="1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14" fillId="0" borderId="39" xfId="0" applyFont="1" applyBorder="1" applyAlignment="1">
      <alignment horizont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F4B1982A-C268-4D1C-BA3E-E02F9F15A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B34E-6314-4401-AC98-A9A83E236F5B}">
  <sheetPr>
    <pageSetUpPr fitToPage="1"/>
  </sheetPr>
  <dimension ref="A1:O271"/>
  <sheetViews>
    <sheetView topLeftCell="A110" workbookViewId="0">
      <selection activeCell="A92" sqref="A92:O132"/>
    </sheetView>
  </sheetViews>
  <sheetFormatPr defaultRowHeight="15" x14ac:dyDescent="0.25"/>
  <cols>
    <col min="1" max="1" width="9.28515625" bestFit="1" customWidth="1"/>
    <col min="4" max="4" width="9.28515625" bestFit="1" customWidth="1"/>
    <col min="5" max="5" width="17.5703125" customWidth="1"/>
    <col min="11" max="11" width="9.28515625" bestFit="1" customWidth="1"/>
    <col min="12" max="12" width="10.140625" bestFit="1" customWidth="1"/>
    <col min="13" max="13" width="9.28515625" bestFit="1" customWidth="1"/>
    <col min="14" max="14" width="10.140625" bestFit="1" customWidth="1"/>
    <col min="15" max="15" width="12.140625" customWidth="1"/>
  </cols>
  <sheetData>
    <row r="1" spans="1:15" ht="15.75" x14ac:dyDescent="0.25">
      <c r="A1" s="158" t="s">
        <v>46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15.75" x14ac:dyDescent="0.25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15" ht="15.75" x14ac:dyDescent="0.25">
      <c r="A3" s="225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</row>
    <row r="4" spans="1:15" ht="15.75" x14ac:dyDescent="0.25">
      <c r="A4" s="225" t="s">
        <v>2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</row>
    <row r="5" spans="1:15" ht="15.75" x14ac:dyDescent="0.25">
      <c r="A5" s="159" t="s">
        <v>84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</row>
    <row r="6" spans="1:15" ht="15.75" x14ac:dyDescent="0.25">
      <c r="A6" s="159" t="s">
        <v>85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</row>
    <row r="7" spans="1:15" ht="15.75" x14ac:dyDescent="0.25">
      <c r="A7" s="55" t="s">
        <v>3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6"/>
    </row>
    <row r="8" spans="1:15" ht="15.75" x14ac:dyDescent="0.25">
      <c r="A8" s="55" t="s">
        <v>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6"/>
    </row>
    <row r="9" spans="1:15" ht="15.75" x14ac:dyDescent="0.25">
      <c r="A9" s="55" t="s">
        <v>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</row>
    <row r="10" spans="1:15" ht="15.75" x14ac:dyDescent="0.25">
      <c r="A10" s="55" t="s">
        <v>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1:15" ht="15.75" x14ac:dyDescent="0.25">
      <c r="A11" s="55" t="s">
        <v>7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</row>
    <row r="12" spans="1:15" ht="15.75" x14ac:dyDescent="0.25">
      <c r="A12" s="55" t="s">
        <v>8</v>
      </c>
      <c r="B12" s="55"/>
      <c r="C12" s="55"/>
      <c r="D12" s="55"/>
      <c r="E12" s="55"/>
      <c r="F12" s="55"/>
      <c r="G12" s="55"/>
      <c r="H12" s="171" t="s">
        <v>9</v>
      </c>
      <c r="I12" s="171"/>
      <c r="J12" s="171"/>
      <c r="K12" s="55"/>
      <c r="L12" s="55"/>
      <c r="M12" s="55"/>
      <c r="N12" s="55"/>
      <c r="O12" s="56"/>
    </row>
    <row r="13" spans="1:15" ht="15.75" x14ac:dyDescent="0.25">
      <c r="A13" s="55" t="s">
        <v>10</v>
      </c>
      <c r="B13" s="55"/>
      <c r="C13" s="55"/>
      <c r="D13" s="55"/>
      <c r="E13" s="55"/>
      <c r="F13" s="55"/>
      <c r="G13" s="55"/>
      <c r="H13" s="55"/>
      <c r="I13" s="171"/>
      <c r="J13" s="171"/>
      <c r="K13" s="55"/>
      <c r="L13" s="55"/>
      <c r="M13" s="55"/>
      <c r="N13" s="55"/>
      <c r="O13" s="56"/>
    </row>
    <row r="14" spans="1:15" ht="15.75" x14ac:dyDescent="0.25">
      <c r="A14" s="58" t="s">
        <v>11</v>
      </c>
      <c r="B14" s="56"/>
      <c r="C14" s="56"/>
      <c r="D14" s="56"/>
      <c r="E14" s="56"/>
      <c r="F14" s="56"/>
      <c r="G14" s="56"/>
      <c r="H14" s="56" t="s">
        <v>12</v>
      </c>
      <c r="I14" s="56"/>
      <c r="J14" s="56"/>
      <c r="K14" s="56"/>
      <c r="L14" s="56"/>
      <c r="M14" s="56"/>
      <c r="N14" s="56"/>
      <c r="O14" s="56"/>
    </row>
    <row r="15" spans="1:15" ht="15.75" x14ac:dyDescent="0.25">
      <c r="A15" s="58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  <row r="16" spans="1:15" ht="15.75" x14ac:dyDescent="0.25">
      <c r="A16" s="59" t="s">
        <v>13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</row>
    <row r="17" spans="1:15" ht="15.75" x14ac:dyDescent="0.25">
      <c r="A17" s="58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</row>
    <row r="18" spans="1:15" ht="15.75" x14ac:dyDescent="0.25">
      <c r="A18" s="58"/>
      <c r="B18" s="59" t="s">
        <v>14</v>
      </c>
      <c r="C18" s="59"/>
      <c r="D18" s="59"/>
      <c r="E18" s="59"/>
      <c r="F18" s="59"/>
      <c r="G18" s="56"/>
      <c r="H18" s="56"/>
      <c r="I18" s="56"/>
      <c r="J18" s="56"/>
      <c r="K18" s="56"/>
      <c r="L18" s="56"/>
      <c r="M18" s="56"/>
      <c r="N18" s="56"/>
      <c r="O18" s="56"/>
    </row>
    <row r="19" spans="1:15" ht="15.75" x14ac:dyDescent="0.25">
      <c r="A19" s="58"/>
      <c r="B19" s="59" t="s">
        <v>86</v>
      </c>
      <c r="C19" s="59"/>
      <c r="D19" s="59"/>
      <c r="E19" s="60"/>
      <c r="F19" s="60"/>
      <c r="G19" s="56"/>
      <c r="H19" s="56"/>
      <c r="I19" s="56"/>
      <c r="J19" s="56"/>
      <c r="K19" s="56"/>
      <c r="L19" s="56"/>
      <c r="M19" s="56"/>
      <c r="N19" s="56"/>
      <c r="O19" s="56"/>
    </row>
    <row r="20" spans="1:15" ht="16.5" thickBot="1" x14ac:dyDescent="0.3">
      <c r="A20" s="5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" customHeight="1" x14ac:dyDescent="0.25">
      <c r="A21" s="160" t="s">
        <v>15</v>
      </c>
      <c r="B21" s="162" t="s">
        <v>16</v>
      </c>
      <c r="C21" s="173"/>
      <c r="D21" s="164" t="s">
        <v>17</v>
      </c>
      <c r="E21" s="164" t="s">
        <v>18</v>
      </c>
      <c r="F21" s="149" t="s">
        <v>19</v>
      </c>
      <c r="G21" s="167" t="s">
        <v>20</v>
      </c>
      <c r="H21" s="149" t="s">
        <v>21</v>
      </c>
      <c r="I21" s="149" t="s">
        <v>22</v>
      </c>
      <c r="J21" s="149" t="s">
        <v>23</v>
      </c>
      <c r="K21" s="151" t="s">
        <v>24</v>
      </c>
      <c r="L21" s="152"/>
      <c r="M21" s="151" t="s">
        <v>25</v>
      </c>
      <c r="N21" s="152"/>
      <c r="O21" s="153" t="s">
        <v>26</v>
      </c>
    </row>
    <row r="22" spans="1:15" ht="15.75" x14ac:dyDescent="0.25">
      <c r="A22" s="172"/>
      <c r="B22" s="174"/>
      <c r="C22" s="175"/>
      <c r="D22" s="165"/>
      <c r="E22" s="165"/>
      <c r="F22" s="177"/>
      <c r="G22" s="178"/>
      <c r="H22" s="177"/>
      <c r="I22" s="177"/>
      <c r="J22" s="177"/>
      <c r="K22" s="82" t="s">
        <v>27</v>
      </c>
      <c r="L22" s="82" t="s">
        <v>28</v>
      </c>
      <c r="M22" s="82" t="s">
        <v>27</v>
      </c>
      <c r="N22" s="82" t="s">
        <v>28</v>
      </c>
      <c r="O22" s="179"/>
    </row>
    <row r="23" spans="1:15" ht="15.75" x14ac:dyDescent="0.25">
      <c r="A23" s="83">
        <v>1</v>
      </c>
      <c r="B23" s="180" t="s">
        <v>29</v>
      </c>
      <c r="C23" s="180"/>
      <c r="D23" s="85">
        <v>996111</v>
      </c>
      <c r="E23" s="91" t="s">
        <v>30</v>
      </c>
      <c r="F23" s="87">
        <v>668</v>
      </c>
      <c r="G23" s="87" t="s">
        <v>31</v>
      </c>
      <c r="H23" s="87">
        <v>53</v>
      </c>
      <c r="I23" s="88">
        <f>+F23*H23</f>
        <v>35404</v>
      </c>
      <c r="J23" s="88">
        <f>I23</f>
        <v>35404</v>
      </c>
      <c r="K23" s="89">
        <v>0.09</v>
      </c>
      <c r="L23" s="90">
        <f>I23*9%</f>
        <v>3186.3599999999997</v>
      </c>
      <c r="M23" s="89">
        <v>0.09</v>
      </c>
      <c r="N23" s="90">
        <f>I23*9%</f>
        <v>3186.3599999999997</v>
      </c>
      <c r="O23" s="90">
        <f>+N23+L23+J23</f>
        <v>41776.720000000001</v>
      </c>
    </row>
    <row r="24" spans="1:15" ht="31.5" x14ac:dyDescent="0.25">
      <c r="A24" s="83">
        <v>1</v>
      </c>
      <c r="B24" s="180" t="s">
        <v>29</v>
      </c>
      <c r="C24" s="180"/>
      <c r="D24" s="85">
        <v>996111</v>
      </c>
      <c r="E24" s="91" t="s">
        <v>32</v>
      </c>
      <c r="F24" s="87"/>
      <c r="G24" s="87" t="s">
        <v>31</v>
      </c>
      <c r="H24" s="87"/>
      <c r="I24" s="88">
        <f>+F24*H24</f>
        <v>0</v>
      </c>
      <c r="J24" s="88">
        <f>I24</f>
        <v>0</v>
      </c>
      <c r="K24" s="89">
        <v>0.09</v>
      </c>
      <c r="L24" s="90">
        <f>I24*9%</f>
        <v>0</v>
      </c>
      <c r="M24" s="89">
        <v>0.09</v>
      </c>
      <c r="N24" s="90">
        <f>I24*9%</f>
        <v>0</v>
      </c>
      <c r="O24" s="90">
        <f>+N24+L24+J24</f>
        <v>0</v>
      </c>
    </row>
    <row r="25" spans="1:15" ht="31.5" x14ac:dyDescent="0.25">
      <c r="A25" s="83">
        <v>2</v>
      </c>
      <c r="B25" s="180" t="s">
        <v>29</v>
      </c>
      <c r="C25" s="180"/>
      <c r="D25" s="85">
        <v>996111</v>
      </c>
      <c r="E25" s="91" t="s">
        <v>33</v>
      </c>
      <c r="F25" s="86">
        <v>0</v>
      </c>
      <c r="G25" s="87" t="s">
        <v>31</v>
      </c>
      <c r="H25" s="86">
        <v>0</v>
      </c>
      <c r="I25" s="86">
        <f>+F25*H25</f>
        <v>0</v>
      </c>
      <c r="J25" s="86">
        <f>I25</f>
        <v>0</v>
      </c>
      <c r="K25" s="89">
        <v>0.09</v>
      </c>
      <c r="L25" s="90">
        <f>I25*9%</f>
        <v>0</v>
      </c>
      <c r="M25" s="89">
        <v>0.09</v>
      </c>
      <c r="N25" s="90">
        <f>I25*9%</f>
        <v>0</v>
      </c>
      <c r="O25" s="90">
        <f>+N25+L25+J25</f>
        <v>0</v>
      </c>
    </row>
    <row r="26" spans="1:15" ht="31.5" x14ac:dyDescent="0.25">
      <c r="A26" s="83">
        <v>3</v>
      </c>
      <c r="B26" s="180" t="s">
        <v>29</v>
      </c>
      <c r="C26" s="180"/>
      <c r="D26" s="85">
        <v>996111</v>
      </c>
      <c r="E26" s="91" t="s">
        <v>34</v>
      </c>
      <c r="F26" s="86">
        <v>0</v>
      </c>
      <c r="G26" s="87" t="s">
        <v>31</v>
      </c>
      <c r="H26" s="86">
        <v>0</v>
      </c>
      <c r="I26" s="86">
        <f>+F26*H26</f>
        <v>0</v>
      </c>
      <c r="J26" s="86">
        <f>I26</f>
        <v>0</v>
      </c>
      <c r="K26" s="89">
        <v>0.09</v>
      </c>
      <c r="L26" s="90">
        <f>I26*9%</f>
        <v>0</v>
      </c>
      <c r="M26" s="89">
        <v>0.09</v>
      </c>
      <c r="N26" s="90">
        <f>I26*9%</f>
        <v>0</v>
      </c>
      <c r="O26" s="90">
        <f>+N26+L26+J26</f>
        <v>0</v>
      </c>
    </row>
    <row r="27" spans="1:15" ht="15.75" x14ac:dyDescent="0.25">
      <c r="A27" s="92"/>
      <c r="B27" s="180"/>
      <c r="C27" s="180"/>
      <c r="D27" s="84"/>
      <c r="E27" s="93"/>
      <c r="F27" s="83"/>
      <c r="G27" s="87">
        <v>0</v>
      </c>
      <c r="H27" s="86">
        <v>0</v>
      </c>
      <c r="I27" s="86">
        <f>G27*H27</f>
        <v>0</v>
      </c>
      <c r="J27" s="86">
        <f>I27</f>
        <v>0</v>
      </c>
      <c r="K27" s="89">
        <v>0.09</v>
      </c>
      <c r="L27" s="90">
        <f>I27*9%</f>
        <v>0</v>
      </c>
      <c r="M27" s="89">
        <v>0.09</v>
      </c>
      <c r="N27" s="90">
        <f>I27*9%</f>
        <v>0</v>
      </c>
      <c r="O27" s="94">
        <v>0</v>
      </c>
    </row>
    <row r="28" spans="1:15" ht="15.75" x14ac:dyDescent="0.25">
      <c r="A28" s="92"/>
      <c r="B28" s="180"/>
      <c r="C28" s="180"/>
      <c r="D28" s="84"/>
      <c r="E28" s="93"/>
      <c r="F28" s="83"/>
      <c r="G28" s="87"/>
      <c r="H28" s="87"/>
      <c r="I28" s="88"/>
      <c r="J28" s="88"/>
      <c r="K28" s="89"/>
      <c r="L28" s="90"/>
      <c r="M28" s="89"/>
      <c r="N28" s="90"/>
      <c r="O28" s="94"/>
    </row>
    <row r="29" spans="1:15" ht="16.5" thickBot="1" x14ac:dyDescent="0.3">
      <c r="A29" s="226" t="s">
        <v>26</v>
      </c>
      <c r="B29" s="227"/>
      <c r="C29" s="227"/>
      <c r="D29" s="227"/>
      <c r="E29" s="227"/>
      <c r="F29" s="228"/>
      <c r="G29" s="95"/>
      <c r="H29" s="95"/>
      <c r="I29" s="96"/>
      <c r="J29" s="96">
        <f>SUM(J23:J28)</f>
        <v>35404</v>
      </c>
      <c r="K29" s="97"/>
      <c r="L29" s="96">
        <f>SUM(L23:L28)</f>
        <v>3186.3599999999997</v>
      </c>
      <c r="M29" s="97"/>
      <c r="N29" s="96">
        <f>SUM(N23:N28)</f>
        <v>3186.3599999999997</v>
      </c>
      <c r="O29" s="98"/>
    </row>
    <row r="30" spans="1:15" ht="15.75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140" t="s">
        <v>35</v>
      </c>
      <c r="L30" s="141"/>
      <c r="M30" s="141"/>
      <c r="N30" s="142"/>
      <c r="O30" s="99">
        <f>J29</f>
        <v>35404</v>
      </c>
    </row>
    <row r="31" spans="1:15" ht="15.75" x14ac:dyDescent="0.25">
      <c r="A31" s="55"/>
      <c r="B31" s="55" t="s">
        <v>36</v>
      </c>
      <c r="C31" s="55"/>
      <c r="D31" s="55"/>
      <c r="E31" s="55"/>
      <c r="F31" s="55"/>
      <c r="G31" s="55"/>
      <c r="H31" s="55"/>
      <c r="I31" s="55"/>
      <c r="J31" s="55"/>
      <c r="K31" s="143" t="s">
        <v>37</v>
      </c>
      <c r="L31" s="144"/>
      <c r="M31" s="144"/>
      <c r="N31" s="145"/>
      <c r="O31" s="100">
        <f>N29+L29</f>
        <v>6372.7199999999993</v>
      </c>
    </row>
    <row r="32" spans="1:15" ht="16.5" thickBot="1" x14ac:dyDescent="0.3">
      <c r="A32" s="55"/>
      <c r="B32" s="55" t="s">
        <v>87</v>
      </c>
      <c r="C32" s="55"/>
      <c r="D32" s="55"/>
      <c r="E32" s="55"/>
      <c r="F32" s="55"/>
      <c r="G32" s="55"/>
      <c r="H32" s="55"/>
      <c r="I32" s="55"/>
      <c r="J32" s="55"/>
      <c r="K32" s="146" t="s">
        <v>38</v>
      </c>
      <c r="L32" s="147"/>
      <c r="M32" s="147"/>
      <c r="N32" s="148"/>
      <c r="O32" s="74">
        <f>O30+O31</f>
        <v>41776.720000000001</v>
      </c>
    </row>
    <row r="33" spans="1:15" ht="16.5" thickBot="1" x14ac:dyDescent="0.3">
      <c r="A33" s="57"/>
      <c r="B33" s="57" t="s">
        <v>88</v>
      </c>
      <c r="C33" s="57"/>
      <c r="D33" s="57"/>
      <c r="E33" s="57"/>
      <c r="F33" s="57"/>
      <c r="G33" s="57"/>
      <c r="H33" s="57"/>
      <c r="I33" s="57"/>
      <c r="J33" s="57"/>
      <c r="K33" s="56"/>
      <c r="L33" s="56"/>
      <c r="M33" s="56"/>
      <c r="N33" s="56"/>
      <c r="O33" s="75"/>
    </row>
    <row r="34" spans="1:15" ht="16.5" thickBot="1" x14ac:dyDescent="0.3">
      <c r="A34" s="101" t="s">
        <v>89</v>
      </c>
      <c r="B34" s="103"/>
      <c r="C34" s="103"/>
      <c r="D34" s="104"/>
      <c r="E34" s="57"/>
      <c r="F34" s="57"/>
      <c r="G34" s="57"/>
      <c r="H34" s="57"/>
      <c r="I34" s="57"/>
      <c r="J34" s="57"/>
      <c r="K34" s="56"/>
      <c r="L34" s="56"/>
      <c r="M34" s="56"/>
      <c r="N34" s="56"/>
      <c r="O34" s="75"/>
    </row>
    <row r="35" spans="1:15" ht="15.75" x14ac:dyDescent="0.2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6"/>
      <c r="L35" s="56"/>
      <c r="M35" s="56"/>
      <c r="N35" s="56"/>
      <c r="O35" s="75"/>
    </row>
    <row r="36" spans="1:15" ht="15.75" x14ac:dyDescent="0.25">
      <c r="A36" s="225" t="s">
        <v>39</v>
      </c>
      <c r="B36" s="225"/>
      <c r="C36" s="225"/>
      <c r="D36" s="225"/>
      <c r="E36" s="225"/>
      <c r="F36" s="56"/>
      <c r="G36" s="56"/>
      <c r="H36" s="56"/>
      <c r="I36" s="56"/>
      <c r="J36" s="56"/>
      <c r="K36" s="56"/>
      <c r="L36" s="56"/>
      <c r="M36" s="56"/>
      <c r="N36" s="56"/>
      <c r="O36" s="56"/>
    </row>
    <row r="37" spans="1:15" ht="15.75" x14ac:dyDescent="0.25">
      <c r="A37" s="105"/>
      <c r="B37" s="106" t="s">
        <v>40</v>
      </c>
      <c r="C37" s="61"/>
      <c r="D37" s="61"/>
      <c r="E37" s="61"/>
      <c r="F37" s="61"/>
      <c r="G37" s="61"/>
      <c r="H37" s="61"/>
      <c r="I37" s="61"/>
      <c r="J37" s="61"/>
      <c r="K37" s="61"/>
      <c r="L37" s="56"/>
      <c r="M37" s="56"/>
      <c r="N37" s="56"/>
      <c r="O37" s="56"/>
    </row>
    <row r="38" spans="1:15" ht="15.75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171" t="s">
        <v>0</v>
      </c>
      <c r="L38" s="171"/>
      <c r="M38" s="171"/>
      <c r="N38" s="171"/>
      <c r="O38" s="171"/>
    </row>
    <row r="39" spans="1:15" ht="15.75" x14ac:dyDescent="0.25">
      <c r="A39" s="56"/>
      <c r="B39" s="62" t="s">
        <v>41</v>
      </c>
      <c r="C39" s="62"/>
      <c r="D39" s="62" t="s">
        <v>42</v>
      </c>
      <c r="E39" s="56"/>
      <c r="F39" s="58"/>
      <c r="G39" s="58"/>
      <c r="H39" s="58"/>
      <c r="I39" s="58"/>
      <c r="J39" s="58"/>
      <c r="K39" s="56"/>
      <c r="L39" s="56"/>
      <c r="M39" s="56"/>
      <c r="N39" s="56"/>
      <c r="O39" s="56"/>
    </row>
    <row r="40" spans="1:15" ht="15.75" x14ac:dyDescent="0.25">
      <c r="A40" s="56"/>
      <c r="B40" s="62" t="s">
        <v>43</v>
      </c>
      <c r="C40" s="56"/>
      <c r="D40" s="78" t="s">
        <v>90</v>
      </c>
      <c r="E40" s="56"/>
      <c r="F40" s="56"/>
      <c r="G40" s="56"/>
      <c r="H40" s="56"/>
      <c r="I40" s="56"/>
      <c r="J40" s="56"/>
      <c r="K40" s="225" t="s">
        <v>44</v>
      </c>
      <c r="L40" s="225"/>
      <c r="M40" s="225"/>
      <c r="N40" s="225"/>
      <c r="O40" s="225"/>
    </row>
    <row r="41" spans="1:15" ht="15.75" x14ac:dyDescent="0.25">
      <c r="A41" s="56"/>
      <c r="B41" s="62" t="s">
        <v>45</v>
      </c>
      <c r="C41" s="56"/>
      <c r="D41" s="78" t="s">
        <v>90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</row>
    <row r="42" spans="1:15" ht="15.75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62"/>
      <c r="M42" s="56"/>
      <c r="N42" s="56"/>
      <c r="O42" s="56"/>
    </row>
    <row r="43" spans="1:15" ht="15.7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7" spans="1:15" x14ac:dyDescent="0.25">
      <c r="A47" s="213" t="s">
        <v>46</v>
      </c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</row>
    <row r="48" spans="1:15" x14ac:dyDescent="0.25">
      <c r="A48" s="214" t="s">
        <v>0</v>
      </c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</row>
    <row r="49" spans="1:15" x14ac:dyDescent="0.25">
      <c r="A49" s="170" t="s">
        <v>1</v>
      </c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</row>
    <row r="50" spans="1:15" x14ac:dyDescent="0.25">
      <c r="A50" s="170" t="s">
        <v>2</v>
      </c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</row>
    <row r="51" spans="1:15" x14ac:dyDescent="0.25">
      <c r="A51" s="194" t="s">
        <v>80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</row>
    <row r="52" spans="1:15" x14ac:dyDescent="0.25">
      <c r="A52" s="195" t="s">
        <v>79</v>
      </c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</row>
    <row r="53" spans="1:15" ht="15.75" x14ac:dyDescent="0.25">
      <c r="A53" s="3" t="s">
        <v>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</row>
    <row r="54" spans="1:15" ht="15.75" x14ac:dyDescent="0.25">
      <c r="A54" s="3" t="s">
        <v>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</row>
    <row r="55" spans="1:15" ht="15.75" x14ac:dyDescent="0.25">
      <c r="A55" s="3" t="s">
        <v>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</row>
    <row r="56" spans="1:15" ht="15.75" x14ac:dyDescent="0.25">
      <c r="A56" s="3" t="s">
        <v>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</row>
    <row r="57" spans="1:15" ht="15.75" x14ac:dyDescent="0.25">
      <c r="A57" s="3" t="s">
        <v>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</row>
    <row r="58" spans="1:15" ht="15.75" x14ac:dyDescent="0.25">
      <c r="A58" s="3" t="s">
        <v>8</v>
      </c>
      <c r="B58" s="3"/>
      <c r="C58" s="3"/>
      <c r="D58" s="3"/>
      <c r="E58" s="3"/>
      <c r="F58" s="3"/>
      <c r="G58" s="3"/>
      <c r="H58" s="3"/>
      <c r="I58" s="3" t="s">
        <v>65</v>
      </c>
      <c r="J58" s="3"/>
      <c r="K58" s="3"/>
      <c r="L58" s="4"/>
    </row>
    <row r="59" spans="1:15" ht="15.75" x14ac:dyDescent="0.25">
      <c r="A59" s="3" t="s">
        <v>10</v>
      </c>
      <c r="B59" s="3"/>
      <c r="C59" s="3"/>
      <c r="D59" s="3"/>
      <c r="E59" s="3"/>
      <c r="F59" s="3"/>
      <c r="G59" s="3"/>
      <c r="H59" s="3"/>
      <c r="I59" s="196"/>
      <c r="J59" s="196"/>
      <c r="K59" s="3"/>
      <c r="L59" s="3"/>
      <c r="M59" s="3"/>
      <c r="N59" s="3"/>
      <c r="O59" s="4"/>
    </row>
    <row r="60" spans="1:15" x14ac:dyDescent="0.25">
      <c r="A60" s="5" t="s">
        <v>11</v>
      </c>
      <c r="H60" t="s">
        <v>12</v>
      </c>
    </row>
    <row r="61" spans="1:15" x14ac:dyDescent="0.25">
      <c r="A61" s="6"/>
    </row>
    <row r="62" spans="1:15" ht="15.75" x14ac:dyDescent="0.25">
      <c r="A62" s="7" t="s">
        <v>13</v>
      </c>
    </row>
    <row r="63" spans="1:15" x14ac:dyDescent="0.25">
      <c r="A63" s="6"/>
    </row>
    <row r="64" spans="1:15" ht="15.75" x14ac:dyDescent="0.25">
      <c r="A64" s="6"/>
      <c r="B64" s="7" t="s">
        <v>14</v>
      </c>
      <c r="C64" s="7"/>
      <c r="D64" s="7"/>
      <c r="E64" s="7"/>
      <c r="F64" s="7"/>
      <c r="G64" s="4"/>
      <c r="H64" s="4"/>
      <c r="I64" s="4"/>
      <c r="J64" s="4"/>
      <c r="K64" s="4"/>
    </row>
    <row r="65" spans="1:15" ht="15.75" x14ac:dyDescent="0.25">
      <c r="A65" s="6"/>
      <c r="B65" s="7" t="s">
        <v>83</v>
      </c>
      <c r="C65" s="7"/>
      <c r="D65" s="7"/>
      <c r="E65" s="8"/>
      <c r="F65" s="8"/>
      <c r="G65" s="4"/>
      <c r="H65" s="4"/>
      <c r="I65" s="4"/>
      <c r="J65" s="4"/>
      <c r="K65" s="4"/>
    </row>
    <row r="66" spans="1:15" ht="15.75" thickBot="1" x14ac:dyDescent="0.3">
      <c r="A66" s="6"/>
    </row>
    <row r="67" spans="1:15" ht="15" customHeight="1" x14ac:dyDescent="0.25">
      <c r="A67" s="197" t="s">
        <v>15</v>
      </c>
      <c r="B67" s="199" t="s">
        <v>16</v>
      </c>
      <c r="C67" s="200"/>
      <c r="D67" s="203" t="s">
        <v>17</v>
      </c>
      <c r="E67" s="203" t="s">
        <v>18</v>
      </c>
      <c r="F67" s="205" t="s">
        <v>19</v>
      </c>
      <c r="G67" s="207" t="s">
        <v>20</v>
      </c>
      <c r="H67" s="205" t="s">
        <v>21</v>
      </c>
      <c r="I67" s="205" t="s">
        <v>22</v>
      </c>
      <c r="J67" s="205" t="s">
        <v>23</v>
      </c>
      <c r="K67" s="209" t="s">
        <v>24</v>
      </c>
      <c r="L67" s="210"/>
      <c r="M67" s="209" t="s">
        <v>25</v>
      </c>
      <c r="N67" s="210"/>
      <c r="O67" s="211" t="s">
        <v>26</v>
      </c>
    </row>
    <row r="68" spans="1:15" x14ac:dyDescent="0.25">
      <c r="A68" s="198"/>
      <c r="B68" s="201"/>
      <c r="C68" s="202"/>
      <c r="D68" s="204"/>
      <c r="E68" s="222"/>
      <c r="F68" s="206"/>
      <c r="G68" s="208"/>
      <c r="H68" s="206"/>
      <c r="I68" s="206"/>
      <c r="J68" s="206"/>
      <c r="K68" s="9" t="s">
        <v>27</v>
      </c>
      <c r="L68" s="9" t="s">
        <v>28</v>
      </c>
      <c r="M68" s="9" t="s">
        <v>27</v>
      </c>
      <c r="N68" s="9" t="s">
        <v>28</v>
      </c>
      <c r="O68" s="212"/>
    </row>
    <row r="69" spans="1:15" ht="15.75" x14ac:dyDescent="0.25">
      <c r="A69" s="10">
        <v>1</v>
      </c>
      <c r="B69" s="193" t="s">
        <v>29</v>
      </c>
      <c r="C69" s="193"/>
      <c r="D69" s="12">
        <v>996111</v>
      </c>
      <c r="E69" s="50" t="s">
        <v>81</v>
      </c>
      <c r="F69" s="18">
        <v>4</v>
      </c>
      <c r="G69" s="14" t="s">
        <v>31</v>
      </c>
      <c r="H69" s="14">
        <v>53</v>
      </c>
      <c r="I69" s="15">
        <f>+F69*H69</f>
        <v>212</v>
      </c>
      <c r="J69" s="15">
        <f>I69</f>
        <v>212</v>
      </c>
      <c r="K69" s="16">
        <v>0.09</v>
      </c>
      <c r="L69" s="17">
        <f>I69*9%</f>
        <v>19.079999999999998</v>
      </c>
      <c r="M69" s="16">
        <v>0.09</v>
      </c>
      <c r="N69" s="17">
        <f>I69*9%</f>
        <v>19.079999999999998</v>
      </c>
      <c r="O69" s="17">
        <f>+N69+L69+J69</f>
        <v>250.16</v>
      </c>
    </row>
    <row r="70" spans="1:15" ht="15.75" x14ac:dyDescent="0.25">
      <c r="A70" s="10">
        <v>2</v>
      </c>
      <c r="B70" s="193" t="s">
        <v>29</v>
      </c>
      <c r="C70" s="193"/>
      <c r="D70" s="12">
        <v>996111</v>
      </c>
      <c r="E70" s="13"/>
      <c r="F70" s="18">
        <v>0</v>
      </c>
      <c r="G70" s="14" t="s">
        <v>31</v>
      </c>
      <c r="H70" s="18">
        <v>0</v>
      </c>
      <c r="I70" s="18">
        <f>+F70*H70</f>
        <v>0</v>
      </c>
      <c r="J70" s="18">
        <f>I70</f>
        <v>0</v>
      </c>
      <c r="K70" s="16">
        <v>0.09</v>
      </c>
      <c r="L70" s="17">
        <f>I70*9%</f>
        <v>0</v>
      </c>
      <c r="M70" s="16">
        <v>0.09</v>
      </c>
      <c r="N70" s="17">
        <f>I70*9%</f>
        <v>0</v>
      </c>
      <c r="O70" s="17">
        <f>+N70+L70+J70</f>
        <v>0</v>
      </c>
    </row>
    <row r="71" spans="1:15" ht="15.75" x14ac:dyDescent="0.25">
      <c r="A71" s="10">
        <v>3</v>
      </c>
      <c r="B71" s="193" t="s">
        <v>29</v>
      </c>
      <c r="C71" s="193"/>
      <c r="D71" s="12">
        <v>996111</v>
      </c>
      <c r="E71" s="13"/>
      <c r="F71" s="18">
        <v>0</v>
      </c>
      <c r="G71" s="14" t="s">
        <v>31</v>
      </c>
      <c r="H71" s="18">
        <v>0</v>
      </c>
      <c r="I71" s="18">
        <f>+F71*H71</f>
        <v>0</v>
      </c>
      <c r="J71" s="18">
        <f>I71</f>
        <v>0</v>
      </c>
      <c r="K71" s="16">
        <v>0.09</v>
      </c>
      <c r="L71" s="17">
        <f>I71*9%</f>
        <v>0</v>
      </c>
      <c r="M71" s="16">
        <v>0.09</v>
      </c>
      <c r="N71" s="17">
        <f>I71*9%</f>
        <v>0</v>
      </c>
      <c r="O71" s="17">
        <f>+N71+L71+J71</f>
        <v>0</v>
      </c>
    </row>
    <row r="72" spans="1:15" x14ac:dyDescent="0.25">
      <c r="A72" s="19"/>
      <c r="B72" s="193"/>
      <c r="C72" s="193"/>
      <c r="D72" s="11"/>
      <c r="E72" s="20"/>
      <c r="F72" s="10"/>
      <c r="G72" s="14">
        <v>0</v>
      </c>
      <c r="H72" s="18">
        <v>0</v>
      </c>
      <c r="I72" s="18">
        <f>G72*H72</f>
        <v>0</v>
      </c>
      <c r="J72" s="18">
        <f>I72</f>
        <v>0</v>
      </c>
      <c r="K72" s="16">
        <v>0.09</v>
      </c>
      <c r="L72" s="17">
        <f>I72*9%</f>
        <v>0</v>
      </c>
      <c r="M72" s="16">
        <v>0.09</v>
      </c>
      <c r="N72" s="17">
        <f>I72*9%</f>
        <v>0</v>
      </c>
      <c r="O72" s="21">
        <v>0</v>
      </c>
    </row>
    <row r="73" spans="1:15" x14ac:dyDescent="0.25">
      <c r="A73" s="19"/>
      <c r="B73" s="193"/>
      <c r="C73" s="193"/>
      <c r="D73" s="11"/>
      <c r="E73" s="20"/>
      <c r="F73" s="10"/>
      <c r="G73" s="14"/>
      <c r="H73" s="14"/>
      <c r="I73" s="15"/>
      <c r="J73" s="15"/>
      <c r="K73" s="16"/>
      <c r="L73" s="17"/>
      <c r="M73" s="16"/>
      <c r="N73" s="17"/>
      <c r="O73" s="21"/>
    </row>
    <row r="74" spans="1:15" ht="15.75" thickBot="1" x14ac:dyDescent="0.3">
      <c r="A74" s="181" t="s">
        <v>26</v>
      </c>
      <c r="B74" s="182"/>
      <c r="C74" s="182"/>
      <c r="D74" s="182"/>
      <c r="E74" s="182"/>
      <c r="F74" s="183"/>
      <c r="G74" s="22"/>
      <c r="H74" s="22"/>
      <c r="I74" s="23"/>
      <c r="J74" s="23">
        <f>SUM(J69:J73)</f>
        <v>212</v>
      </c>
      <c r="K74" s="24"/>
      <c r="L74" s="23">
        <f>SUM(L69:L73)</f>
        <v>19.079999999999998</v>
      </c>
      <c r="M74" s="24"/>
      <c r="N74" s="23">
        <f>SUM(N69:N73)</f>
        <v>19.079999999999998</v>
      </c>
      <c r="O74" s="25"/>
    </row>
    <row r="75" spans="1:15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184" t="s">
        <v>35</v>
      </c>
      <c r="L75" s="185"/>
      <c r="M75" s="185"/>
      <c r="N75" s="186"/>
      <c r="O75" s="27">
        <f>J74</f>
        <v>212</v>
      </c>
    </row>
    <row r="76" spans="1:15" x14ac:dyDescent="0.25">
      <c r="A76" s="26"/>
      <c r="B76" s="26" t="s">
        <v>92</v>
      </c>
      <c r="C76" s="26"/>
      <c r="D76" s="26"/>
      <c r="E76" s="26"/>
      <c r="F76" s="26"/>
      <c r="G76" s="26"/>
      <c r="H76" s="26"/>
      <c r="I76" s="26"/>
      <c r="J76" s="26"/>
      <c r="K76" s="187" t="s">
        <v>37</v>
      </c>
      <c r="L76" s="188"/>
      <c r="M76" s="188"/>
      <c r="N76" s="189"/>
      <c r="O76" s="28">
        <f>N74+L74</f>
        <v>38.159999999999997</v>
      </c>
    </row>
    <row r="77" spans="1:15" ht="15.75" thickBot="1" x14ac:dyDescent="0.3">
      <c r="A77" s="26"/>
      <c r="B77" s="26" t="s">
        <v>93</v>
      </c>
      <c r="C77" s="26"/>
      <c r="D77" s="26"/>
      <c r="E77" s="26"/>
      <c r="F77" s="26"/>
      <c r="G77" s="26"/>
      <c r="H77" s="26"/>
      <c r="I77" s="26"/>
      <c r="J77" s="26"/>
      <c r="K77" s="190" t="s">
        <v>38</v>
      </c>
      <c r="L77" s="191"/>
      <c r="M77" s="191"/>
      <c r="N77" s="192"/>
      <c r="O77" s="29">
        <f>O75+O76</f>
        <v>250.16</v>
      </c>
    </row>
    <row r="78" spans="1:15" ht="15.75" thickBot="1" x14ac:dyDescent="0.3">
      <c r="A78" s="30"/>
      <c r="B78" s="30" t="s">
        <v>94</v>
      </c>
      <c r="C78" s="30"/>
      <c r="D78" s="30"/>
      <c r="E78" s="30"/>
      <c r="F78" s="30"/>
      <c r="G78" s="30"/>
      <c r="H78" s="30"/>
      <c r="I78" s="30"/>
      <c r="J78" s="30"/>
      <c r="K78" s="31"/>
      <c r="L78" s="31"/>
      <c r="M78" s="31"/>
      <c r="N78" s="31"/>
      <c r="O78" s="32"/>
    </row>
    <row r="79" spans="1:15" ht="16.5" thickBot="1" x14ac:dyDescent="0.3">
      <c r="A79" s="33" t="s">
        <v>82</v>
      </c>
      <c r="B79" s="51"/>
      <c r="C79" s="34"/>
      <c r="D79" s="35"/>
      <c r="E79" s="34"/>
      <c r="F79" s="34"/>
      <c r="G79" s="34"/>
      <c r="H79" s="34"/>
      <c r="I79" s="34"/>
      <c r="J79" s="34"/>
      <c r="K79" s="52"/>
      <c r="L79" s="52"/>
      <c r="M79" s="53"/>
      <c r="N79" s="31"/>
      <c r="O79" s="32"/>
    </row>
    <row r="80" spans="1:15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1"/>
      <c r="L80" s="31"/>
      <c r="M80" s="31"/>
      <c r="N80" s="31"/>
      <c r="O80" s="32"/>
    </row>
    <row r="81" spans="1:15" x14ac:dyDescent="0.25">
      <c r="A81" s="170" t="s">
        <v>39</v>
      </c>
      <c r="B81" s="170"/>
      <c r="C81" s="170"/>
      <c r="D81" s="170"/>
      <c r="E81" s="170"/>
    </row>
    <row r="82" spans="1:15" x14ac:dyDescent="0.25">
      <c r="A82" s="36"/>
      <c r="B82" s="37" t="s">
        <v>40</v>
      </c>
      <c r="C82" s="1"/>
      <c r="D82" s="1"/>
      <c r="E82" s="1"/>
      <c r="F82" s="1"/>
      <c r="G82" s="1"/>
      <c r="H82" s="1"/>
      <c r="I82" s="1"/>
      <c r="J82" s="1"/>
      <c r="K82" s="1"/>
    </row>
    <row r="83" spans="1:15" x14ac:dyDescent="0.25">
      <c r="K83" s="169" t="s">
        <v>59</v>
      </c>
      <c r="L83" s="169"/>
      <c r="M83" s="169"/>
      <c r="N83" s="169"/>
      <c r="O83" s="169"/>
    </row>
    <row r="84" spans="1:15" x14ac:dyDescent="0.25">
      <c r="B84" s="2" t="s">
        <v>41</v>
      </c>
      <c r="C84" s="2"/>
      <c r="D84" s="2" t="s">
        <v>42</v>
      </c>
      <c r="F84" s="5"/>
      <c r="G84" s="5"/>
      <c r="H84" s="5"/>
      <c r="I84" s="5"/>
      <c r="J84" s="5"/>
    </row>
    <row r="85" spans="1:15" x14ac:dyDescent="0.25">
      <c r="B85" s="2" t="s">
        <v>43</v>
      </c>
      <c r="D85" s="38" t="s">
        <v>78</v>
      </c>
      <c r="K85" s="170" t="s">
        <v>44</v>
      </c>
      <c r="L85" s="170"/>
      <c r="M85" s="170"/>
      <c r="N85" s="170"/>
      <c r="O85" s="170"/>
    </row>
    <row r="86" spans="1:15" x14ac:dyDescent="0.25">
      <c r="B86" s="2" t="s">
        <v>45</v>
      </c>
      <c r="D86" s="38" t="s">
        <v>78</v>
      </c>
    </row>
    <row r="87" spans="1:15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1"/>
      <c r="L87" s="31"/>
      <c r="M87" s="31"/>
      <c r="N87" s="31"/>
      <c r="O87" s="32"/>
    </row>
    <row r="88" spans="1:15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1"/>
      <c r="L88" s="31"/>
      <c r="M88" s="31"/>
      <c r="N88" s="31"/>
      <c r="O88" s="32"/>
    </row>
    <row r="89" spans="1:15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1"/>
      <c r="L89" s="31"/>
      <c r="M89" s="31"/>
      <c r="N89" s="31"/>
      <c r="O89" s="32"/>
    </row>
    <row r="90" spans="1:15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1"/>
      <c r="L90" s="31"/>
      <c r="M90" s="31"/>
      <c r="N90" s="31"/>
      <c r="O90" s="32"/>
    </row>
    <row r="91" spans="1:15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1"/>
      <c r="L91" s="31"/>
      <c r="M91" s="31"/>
      <c r="N91" s="31"/>
      <c r="O91" s="32"/>
    </row>
    <row r="92" spans="1:15" ht="15.75" x14ac:dyDescent="0.25">
      <c r="A92" s="158" t="s">
        <v>46</v>
      </c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</row>
    <row r="93" spans="1:15" ht="15.75" x14ac:dyDescent="0.25">
      <c r="A93" s="158" t="s">
        <v>0</v>
      </c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</row>
    <row r="94" spans="1:15" ht="15.75" x14ac:dyDescent="0.25">
      <c r="A94" s="225" t="s">
        <v>1</v>
      </c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</row>
    <row r="95" spans="1:15" ht="15.75" x14ac:dyDescent="0.25">
      <c r="A95" s="225" t="s">
        <v>2</v>
      </c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</row>
    <row r="96" spans="1:15" ht="15.75" x14ac:dyDescent="0.25">
      <c r="A96" s="159" t="s">
        <v>95</v>
      </c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</row>
    <row r="97" spans="1:15" ht="15.75" x14ac:dyDescent="0.25">
      <c r="A97" s="159" t="s">
        <v>96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</row>
    <row r="98" spans="1:15" ht="15.75" x14ac:dyDescent="0.25">
      <c r="A98" s="55" t="s">
        <v>3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6"/>
    </row>
    <row r="99" spans="1:15" ht="15.75" x14ac:dyDescent="0.25">
      <c r="A99" s="55" t="s">
        <v>4</v>
      </c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6"/>
    </row>
    <row r="100" spans="1:15" ht="15.75" x14ac:dyDescent="0.25">
      <c r="A100" s="55" t="s">
        <v>5</v>
      </c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6"/>
    </row>
    <row r="101" spans="1:15" ht="15.75" x14ac:dyDescent="0.25">
      <c r="A101" s="55" t="s">
        <v>6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6"/>
    </row>
    <row r="102" spans="1:15" ht="15.75" x14ac:dyDescent="0.25">
      <c r="A102" s="55" t="s">
        <v>7</v>
      </c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6"/>
    </row>
    <row r="103" spans="1:15" ht="15.75" x14ac:dyDescent="0.25">
      <c r="A103" s="55" t="s">
        <v>8</v>
      </c>
      <c r="B103" s="55"/>
      <c r="C103" s="55"/>
      <c r="D103" s="55"/>
      <c r="E103" s="55"/>
      <c r="F103" s="55"/>
      <c r="G103" s="55"/>
      <c r="H103" s="55"/>
      <c r="I103" s="55" t="s">
        <v>65</v>
      </c>
      <c r="J103" s="55"/>
      <c r="K103" s="55"/>
      <c r="L103" s="56"/>
      <c r="M103" s="56"/>
      <c r="N103" s="56"/>
      <c r="O103" s="56"/>
    </row>
    <row r="104" spans="1:15" ht="15.75" x14ac:dyDescent="0.25">
      <c r="A104" s="55" t="s">
        <v>10</v>
      </c>
      <c r="B104" s="55"/>
      <c r="C104" s="55"/>
      <c r="D104" s="55"/>
      <c r="E104" s="55"/>
      <c r="F104" s="55"/>
      <c r="G104" s="55"/>
      <c r="H104" s="55"/>
      <c r="I104" s="171"/>
      <c r="J104" s="171"/>
      <c r="K104" s="55"/>
      <c r="L104" s="55"/>
      <c r="M104" s="55"/>
      <c r="N104" s="55"/>
      <c r="O104" s="56"/>
    </row>
    <row r="105" spans="1:15" ht="15.75" x14ac:dyDescent="0.25">
      <c r="A105" s="58" t="s">
        <v>11</v>
      </c>
      <c r="B105" s="56"/>
      <c r="C105" s="56"/>
      <c r="D105" s="56"/>
      <c r="E105" s="56"/>
      <c r="F105" s="56"/>
      <c r="G105" s="56"/>
      <c r="H105" s="56" t="s">
        <v>12</v>
      </c>
      <c r="I105" s="56"/>
      <c r="J105" s="56"/>
      <c r="K105" s="56"/>
      <c r="L105" s="56"/>
      <c r="M105" s="56"/>
      <c r="N105" s="56"/>
      <c r="O105" s="56"/>
    </row>
    <row r="106" spans="1:15" ht="15.75" x14ac:dyDescent="0.25">
      <c r="A106" s="58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</row>
    <row r="107" spans="1:15" ht="15.75" x14ac:dyDescent="0.25">
      <c r="A107" s="59" t="s">
        <v>13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</row>
    <row r="108" spans="1:15" ht="15.75" x14ac:dyDescent="0.25">
      <c r="A108" s="58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</row>
    <row r="109" spans="1:15" ht="15.75" x14ac:dyDescent="0.25">
      <c r="A109" s="58"/>
      <c r="B109" s="59" t="s">
        <v>14</v>
      </c>
      <c r="C109" s="59"/>
      <c r="D109" s="59"/>
      <c r="E109" s="59"/>
      <c r="F109" s="59"/>
      <c r="G109" s="56"/>
      <c r="H109" s="56"/>
      <c r="I109" s="56"/>
      <c r="J109" s="56"/>
      <c r="K109" s="56"/>
      <c r="L109" s="56"/>
      <c r="M109" s="56"/>
      <c r="N109" s="56"/>
      <c r="O109" s="56"/>
    </row>
    <row r="110" spans="1:15" ht="15.75" x14ac:dyDescent="0.25">
      <c r="A110" s="58"/>
      <c r="B110" s="59" t="s">
        <v>97</v>
      </c>
      <c r="C110" s="59"/>
      <c r="D110" s="59"/>
      <c r="E110" s="60"/>
      <c r="F110" s="60"/>
      <c r="G110" s="56"/>
      <c r="H110" s="56"/>
      <c r="I110" s="56"/>
      <c r="J110" s="56"/>
      <c r="K110" s="56"/>
      <c r="L110" s="56"/>
      <c r="M110" s="56"/>
      <c r="N110" s="56"/>
      <c r="O110" s="56"/>
    </row>
    <row r="111" spans="1:15" ht="16.5" thickBot="1" x14ac:dyDescent="0.3">
      <c r="A111" s="58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</row>
    <row r="112" spans="1:15" ht="15.75" x14ac:dyDescent="0.25">
      <c r="A112" s="160" t="s">
        <v>15</v>
      </c>
      <c r="B112" s="162" t="s">
        <v>16</v>
      </c>
      <c r="C112" s="173"/>
      <c r="D112" s="164" t="s">
        <v>17</v>
      </c>
      <c r="E112" s="164" t="s">
        <v>18</v>
      </c>
      <c r="F112" s="149" t="s">
        <v>19</v>
      </c>
      <c r="G112" s="167" t="s">
        <v>20</v>
      </c>
      <c r="H112" s="149" t="s">
        <v>21</v>
      </c>
      <c r="I112" s="149" t="s">
        <v>22</v>
      </c>
      <c r="J112" s="149" t="s">
        <v>23</v>
      </c>
      <c r="K112" s="151" t="s">
        <v>24</v>
      </c>
      <c r="L112" s="152"/>
      <c r="M112" s="151" t="s">
        <v>25</v>
      </c>
      <c r="N112" s="152"/>
      <c r="O112" s="153" t="s">
        <v>26</v>
      </c>
    </row>
    <row r="113" spans="1:15" ht="15.75" x14ac:dyDescent="0.25">
      <c r="A113" s="172"/>
      <c r="B113" s="174"/>
      <c r="C113" s="175"/>
      <c r="D113" s="165"/>
      <c r="E113" s="176"/>
      <c r="F113" s="177"/>
      <c r="G113" s="178"/>
      <c r="H113" s="177"/>
      <c r="I113" s="177"/>
      <c r="J113" s="177"/>
      <c r="K113" s="82" t="s">
        <v>27</v>
      </c>
      <c r="L113" s="82" t="s">
        <v>28</v>
      </c>
      <c r="M113" s="82" t="s">
        <v>27</v>
      </c>
      <c r="N113" s="82" t="s">
        <v>28</v>
      </c>
      <c r="O113" s="179"/>
    </row>
    <row r="114" spans="1:15" ht="15.75" x14ac:dyDescent="0.25">
      <c r="A114" s="83">
        <v>1</v>
      </c>
      <c r="B114" s="180" t="s">
        <v>29</v>
      </c>
      <c r="C114" s="180"/>
      <c r="D114" s="85">
        <v>996111</v>
      </c>
      <c r="E114" s="64" t="s">
        <v>91</v>
      </c>
      <c r="F114" s="86">
        <v>86</v>
      </c>
      <c r="G114" s="87" t="s">
        <v>31</v>
      </c>
      <c r="H114" s="87">
        <v>83</v>
      </c>
      <c r="I114" s="88">
        <f>+F114*H114</f>
        <v>7138</v>
      </c>
      <c r="J114" s="88">
        <f>I114</f>
        <v>7138</v>
      </c>
      <c r="K114" s="89">
        <v>0.09</v>
      </c>
      <c r="L114" s="90">
        <f>I114*9%</f>
        <v>642.41999999999996</v>
      </c>
      <c r="M114" s="89">
        <v>0.09</v>
      </c>
      <c r="N114" s="90">
        <f>I114*9%</f>
        <v>642.41999999999996</v>
      </c>
      <c r="O114" s="90">
        <f>+N114+L114+J114</f>
        <v>8422.84</v>
      </c>
    </row>
    <row r="115" spans="1:15" ht="15.75" x14ac:dyDescent="0.25">
      <c r="A115" s="83">
        <v>2</v>
      </c>
      <c r="B115" s="180" t="s">
        <v>29</v>
      </c>
      <c r="C115" s="180"/>
      <c r="D115" s="85">
        <v>996111</v>
      </c>
      <c r="E115" s="91"/>
      <c r="F115" s="86">
        <v>0</v>
      </c>
      <c r="G115" s="87" t="s">
        <v>31</v>
      </c>
      <c r="H115" s="86">
        <v>0</v>
      </c>
      <c r="I115" s="86">
        <f>+F115*H115</f>
        <v>0</v>
      </c>
      <c r="J115" s="86">
        <f>I115</f>
        <v>0</v>
      </c>
      <c r="K115" s="89">
        <v>0.09</v>
      </c>
      <c r="L115" s="90">
        <f>I115*9%</f>
        <v>0</v>
      </c>
      <c r="M115" s="89">
        <v>0.09</v>
      </c>
      <c r="N115" s="90">
        <f>I115*9%</f>
        <v>0</v>
      </c>
      <c r="O115" s="90">
        <f>+N115+L115+J115</f>
        <v>0</v>
      </c>
    </row>
    <row r="116" spans="1:15" ht="15.75" x14ac:dyDescent="0.25">
      <c r="A116" s="83">
        <v>3</v>
      </c>
      <c r="B116" s="180" t="s">
        <v>29</v>
      </c>
      <c r="C116" s="180"/>
      <c r="D116" s="85">
        <v>996111</v>
      </c>
      <c r="E116" s="91"/>
      <c r="F116" s="86">
        <v>0</v>
      </c>
      <c r="G116" s="87" t="s">
        <v>31</v>
      </c>
      <c r="H116" s="86">
        <v>0</v>
      </c>
      <c r="I116" s="86">
        <f>+F116*H116</f>
        <v>0</v>
      </c>
      <c r="J116" s="86">
        <f>I116</f>
        <v>0</v>
      </c>
      <c r="K116" s="89">
        <v>0.09</v>
      </c>
      <c r="L116" s="90">
        <f>I116*9%</f>
        <v>0</v>
      </c>
      <c r="M116" s="89">
        <v>0.09</v>
      </c>
      <c r="N116" s="90">
        <f>I116*9%</f>
        <v>0</v>
      </c>
      <c r="O116" s="90">
        <f>+N116+L116+J116</f>
        <v>0</v>
      </c>
    </row>
    <row r="117" spans="1:15" ht="15.75" x14ac:dyDescent="0.25">
      <c r="A117" s="92"/>
      <c r="B117" s="180"/>
      <c r="C117" s="180"/>
      <c r="D117" s="84"/>
      <c r="E117" s="93"/>
      <c r="F117" s="83"/>
      <c r="G117" s="87">
        <v>0</v>
      </c>
      <c r="H117" s="86">
        <v>0</v>
      </c>
      <c r="I117" s="86">
        <f>G117*H117</f>
        <v>0</v>
      </c>
      <c r="J117" s="86">
        <f>I117</f>
        <v>0</v>
      </c>
      <c r="K117" s="89">
        <v>0.09</v>
      </c>
      <c r="L117" s="90">
        <f>I117*9%</f>
        <v>0</v>
      </c>
      <c r="M117" s="89">
        <v>0.09</v>
      </c>
      <c r="N117" s="90">
        <f>I117*9%</f>
        <v>0</v>
      </c>
      <c r="O117" s="94">
        <v>0</v>
      </c>
    </row>
    <row r="118" spans="1:15" ht="15.75" x14ac:dyDescent="0.25">
      <c r="A118" s="92"/>
      <c r="B118" s="180"/>
      <c r="C118" s="180"/>
      <c r="D118" s="84"/>
      <c r="E118" s="93"/>
      <c r="F118" s="83"/>
      <c r="G118" s="87"/>
      <c r="H118" s="87"/>
      <c r="I118" s="88"/>
      <c r="J118" s="88"/>
      <c r="K118" s="89"/>
      <c r="L118" s="90"/>
      <c r="M118" s="89"/>
      <c r="N118" s="90"/>
      <c r="O118" s="94"/>
    </row>
    <row r="119" spans="1:15" ht="16.5" thickBot="1" x14ac:dyDescent="0.3">
      <c r="A119" s="226" t="s">
        <v>26</v>
      </c>
      <c r="B119" s="227"/>
      <c r="C119" s="227"/>
      <c r="D119" s="227"/>
      <c r="E119" s="227"/>
      <c r="F119" s="228"/>
      <c r="G119" s="95"/>
      <c r="H119" s="95"/>
      <c r="I119" s="96"/>
      <c r="J119" s="96">
        <f>SUM(J114:J118)</f>
        <v>7138</v>
      </c>
      <c r="K119" s="97"/>
      <c r="L119" s="96">
        <f>SUM(L114:L118)</f>
        <v>642.41999999999996</v>
      </c>
      <c r="M119" s="97"/>
      <c r="N119" s="96">
        <f>SUM(N114:N118)</f>
        <v>642.41999999999996</v>
      </c>
      <c r="O119" s="98"/>
    </row>
    <row r="120" spans="1:15" ht="15.75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140" t="s">
        <v>35</v>
      </c>
      <c r="L120" s="141"/>
      <c r="M120" s="141"/>
      <c r="N120" s="142"/>
      <c r="O120" s="99">
        <f>J119</f>
        <v>7138</v>
      </c>
    </row>
    <row r="121" spans="1:15" ht="15.75" x14ac:dyDescent="0.25">
      <c r="A121" s="55"/>
      <c r="B121" s="55" t="s">
        <v>103</v>
      </c>
      <c r="C121" s="55"/>
      <c r="D121" s="55"/>
      <c r="E121" s="55"/>
      <c r="F121" s="55"/>
      <c r="G121" s="55"/>
      <c r="H121" s="55"/>
      <c r="I121" s="55"/>
      <c r="J121" s="55"/>
      <c r="K121" s="143" t="s">
        <v>37</v>
      </c>
      <c r="L121" s="144"/>
      <c r="M121" s="144"/>
      <c r="N121" s="145"/>
      <c r="O121" s="100">
        <f>N119+L119</f>
        <v>1284.8399999999999</v>
      </c>
    </row>
    <row r="122" spans="1:15" ht="16.5" thickBot="1" x14ac:dyDescent="0.3">
      <c r="A122" s="55"/>
      <c r="B122" s="55" t="s">
        <v>93</v>
      </c>
      <c r="C122" s="55"/>
      <c r="D122" s="55"/>
      <c r="E122" s="55"/>
      <c r="F122" s="55"/>
      <c r="G122" s="55"/>
      <c r="H122" s="55"/>
      <c r="I122" s="55"/>
      <c r="J122" s="55"/>
      <c r="K122" s="146" t="s">
        <v>38</v>
      </c>
      <c r="L122" s="147"/>
      <c r="M122" s="147"/>
      <c r="N122" s="148"/>
      <c r="O122" s="74">
        <f>O120+O121</f>
        <v>8422.84</v>
      </c>
    </row>
    <row r="123" spans="1:15" ht="16.5" thickBot="1" x14ac:dyDescent="0.3">
      <c r="A123" s="57"/>
      <c r="B123" s="57" t="s">
        <v>104</v>
      </c>
      <c r="C123" s="57"/>
      <c r="D123" s="57"/>
      <c r="E123" s="57"/>
      <c r="F123" s="57"/>
      <c r="G123" s="57"/>
      <c r="H123" s="57"/>
      <c r="I123" s="57"/>
      <c r="J123" s="57"/>
      <c r="K123" s="56"/>
      <c r="L123" s="56"/>
      <c r="M123" s="56"/>
      <c r="N123" s="56"/>
      <c r="O123" s="75"/>
    </row>
    <row r="124" spans="1:15" ht="16.5" thickBot="1" x14ac:dyDescent="0.3">
      <c r="A124" s="101" t="s">
        <v>105</v>
      </c>
      <c r="B124" s="102"/>
      <c r="C124" s="103"/>
      <c r="D124" s="104"/>
      <c r="E124" s="103"/>
      <c r="F124" s="103"/>
      <c r="G124" s="103"/>
      <c r="H124" s="103"/>
      <c r="I124" s="103"/>
      <c r="J124" s="103"/>
      <c r="K124" s="76"/>
      <c r="L124" s="76"/>
      <c r="M124" s="77"/>
      <c r="N124" s="56"/>
      <c r="O124" s="75"/>
    </row>
    <row r="125" spans="1:15" ht="15.75" x14ac:dyDescent="0.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6"/>
      <c r="L125" s="56"/>
      <c r="M125" s="56"/>
      <c r="N125" s="56"/>
      <c r="O125" s="75"/>
    </row>
    <row r="126" spans="1:15" ht="15.75" x14ac:dyDescent="0.25">
      <c r="A126" s="225" t="s">
        <v>39</v>
      </c>
      <c r="B126" s="225"/>
      <c r="C126" s="225"/>
      <c r="D126" s="225"/>
      <c r="E126" s="225"/>
      <c r="F126" s="56"/>
      <c r="G126" s="56"/>
      <c r="H126" s="56"/>
      <c r="I126" s="56"/>
      <c r="J126" s="56"/>
      <c r="K126" s="56"/>
      <c r="L126" s="56"/>
      <c r="M126" s="56"/>
      <c r="N126" s="56"/>
      <c r="O126" s="56"/>
    </row>
    <row r="127" spans="1:15" ht="15.75" x14ac:dyDescent="0.25">
      <c r="A127" s="105"/>
      <c r="B127" s="106" t="s">
        <v>40</v>
      </c>
      <c r="C127" s="61"/>
      <c r="D127" s="61"/>
      <c r="E127" s="61"/>
      <c r="F127" s="61"/>
      <c r="G127" s="61"/>
      <c r="H127" s="61"/>
      <c r="I127" s="61"/>
      <c r="J127" s="61"/>
      <c r="K127" s="61"/>
      <c r="L127" s="56"/>
      <c r="M127" s="56"/>
      <c r="N127" s="56"/>
      <c r="O127" s="56"/>
    </row>
    <row r="128" spans="1:15" ht="15.75" x14ac:dyDescent="0.2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171" t="s">
        <v>59</v>
      </c>
      <c r="L128" s="171"/>
      <c r="M128" s="171"/>
      <c r="N128" s="171"/>
      <c r="O128" s="171"/>
    </row>
    <row r="129" spans="1:15" ht="15.75" x14ac:dyDescent="0.25">
      <c r="A129" s="56"/>
      <c r="B129" s="62" t="s">
        <v>41</v>
      </c>
      <c r="C129" s="62"/>
      <c r="D129" s="62" t="s">
        <v>42</v>
      </c>
      <c r="E129" s="56"/>
      <c r="F129" s="58"/>
      <c r="G129" s="58"/>
      <c r="H129" s="58"/>
      <c r="I129" s="58"/>
      <c r="J129" s="58"/>
      <c r="K129" s="56"/>
      <c r="L129" s="56"/>
      <c r="M129" s="56"/>
      <c r="N129" s="56"/>
      <c r="O129" s="56"/>
    </row>
    <row r="130" spans="1:15" ht="15.75" x14ac:dyDescent="0.25">
      <c r="A130" s="56"/>
      <c r="B130" s="62" t="s">
        <v>43</v>
      </c>
      <c r="C130" s="56"/>
      <c r="D130" s="78" t="s">
        <v>90</v>
      </c>
      <c r="E130" s="56"/>
      <c r="F130" s="56"/>
      <c r="G130" s="56"/>
      <c r="H130" s="56"/>
      <c r="I130" s="56"/>
      <c r="J130" s="56"/>
      <c r="K130" s="225" t="s">
        <v>44</v>
      </c>
      <c r="L130" s="225"/>
      <c r="M130" s="225"/>
      <c r="N130" s="225"/>
      <c r="O130" s="225"/>
    </row>
    <row r="131" spans="1:15" ht="15.75" x14ac:dyDescent="0.25">
      <c r="A131" s="56"/>
      <c r="B131" s="62" t="s">
        <v>45</v>
      </c>
      <c r="C131" s="56"/>
      <c r="D131" s="78" t="s">
        <v>90</v>
      </c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</row>
    <row r="132" spans="1:15" ht="15.75" x14ac:dyDescent="0.2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6"/>
      <c r="L132" s="56"/>
      <c r="M132" s="56"/>
      <c r="N132" s="56"/>
      <c r="O132" s="75"/>
    </row>
    <row r="133" spans="1:15" ht="15.75" x14ac:dyDescent="0.2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6"/>
      <c r="L133" s="56"/>
      <c r="M133" s="56"/>
      <c r="N133" s="56"/>
      <c r="O133" s="75"/>
    </row>
    <row r="134" spans="1:15" ht="15.75" x14ac:dyDescent="0.25">
      <c r="A134" s="107"/>
      <c r="B134" s="63"/>
      <c r="C134" s="63"/>
      <c r="D134" s="63"/>
      <c r="E134" s="63"/>
      <c r="F134" s="63"/>
      <c r="G134" s="63"/>
      <c r="H134" s="63"/>
      <c r="I134" s="63"/>
      <c r="J134" s="63"/>
      <c r="K134" s="31"/>
      <c r="L134" s="31"/>
      <c r="M134" s="31"/>
      <c r="N134" s="31"/>
      <c r="O134" s="32"/>
    </row>
    <row r="135" spans="1:15" ht="15.75" x14ac:dyDescent="0.25">
      <c r="A135" s="107"/>
      <c r="B135" s="63"/>
      <c r="C135" s="63"/>
      <c r="D135" s="63"/>
      <c r="E135" s="63"/>
      <c r="F135" s="63"/>
      <c r="G135" s="63"/>
      <c r="H135" s="63"/>
      <c r="I135" s="63"/>
      <c r="J135" s="63"/>
      <c r="K135" s="31"/>
      <c r="L135" s="31"/>
      <c r="M135" s="31"/>
      <c r="N135" s="31"/>
      <c r="O135" s="32"/>
    </row>
    <row r="136" spans="1:15" x14ac:dyDescent="0.25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</row>
    <row r="137" spans="1:15" x14ac:dyDescent="0.25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</row>
    <row r="138" spans="1:15" x14ac:dyDescent="0.25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</row>
    <row r="139" spans="1:15" x14ac:dyDescent="0.25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</row>
    <row r="140" spans="1:15" x14ac:dyDescent="0.25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</row>
    <row r="141" spans="1:15" x14ac:dyDescent="0.25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</row>
    <row r="142" spans="1:15" x14ac:dyDescent="0.25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</row>
    <row r="143" spans="1:15" ht="15.7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/>
    </row>
    <row r="144" spans="1:15" ht="15.7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</row>
    <row r="145" spans="1:15" ht="15.7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/>
    </row>
    <row r="146" spans="1:15" ht="15.7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</row>
    <row r="147" spans="1:15" ht="15.7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/>
    </row>
    <row r="148" spans="1:15" ht="15.75" x14ac:dyDescent="0.25">
      <c r="A148" s="3"/>
      <c r="B148" s="3"/>
      <c r="C148" s="3"/>
      <c r="D148" s="3"/>
      <c r="E148" s="3"/>
      <c r="F148" s="3"/>
      <c r="G148" s="3"/>
      <c r="H148" s="196"/>
      <c r="I148" s="196"/>
      <c r="J148" s="196"/>
      <c r="K148" s="3"/>
      <c r="L148" s="3"/>
      <c r="M148" s="3"/>
      <c r="N148" s="3"/>
      <c r="O148" s="4"/>
    </row>
    <row r="149" spans="1:15" ht="15.75" x14ac:dyDescent="0.25">
      <c r="A149" s="3"/>
      <c r="B149" s="3"/>
      <c r="C149" s="3"/>
      <c r="D149" s="3"/>
      <c r="E149" s="3"/>
      <c r="F149" s="3"/>
      <c r="G149" s="3"/>
      <c r="H149" s="3"/>
      <c r="I149" s="196"/>
      <c r="J149" s="196"/>
      <c r="K149" s="3"/>
      <c r="L149" s="3"/>
      <c r="M149" s="3"/>
      <c r="N149" s="3"/>
      <c r="O149" s="4"/>
    </row>
    <row r="150" spans="1:15" x14ac:dyDescent="0.25">
      <c r="A150" s="5"/>
    </row>
    <row r="151" spans="1:15" x14ac:dyDescent="0.25">
      <c r="A151" s="6"/>
    </row>
    <row r="152" spans="1:15" ht="15.75" x14ac:dyDescent="0.25">
      <c r="A152" s="7"/>
    </row>
    <row r="153" spans="1:15" x14ac:dyDescent="0.25">
      <c r="A153" s="6"/>
    </row>
    <row r="154" spans="1:15" ht="15.75" x14ac:dyDescent="0.25">
      <c r="A154" s="6"/>
      <c r="B154" s="7"/>
      <c r="C154" s="7"/>
      <c r="D154" s="7"/>
      <c r="E154" s="7"/>
      <c r="F154" s="7"/>
      <c r="G154" s="4"/>
      <c r="H154" s="4"/>
      <c r="I154" s="4"/>
      <c r="J154" s="4"/>
      <c r="K154" s="4"/>
    </row>
    <row r="155" spans="1:15" ht="15.75" x14ac:dyDescent="0.25">
      <c r="A155" s="6"/>
      <c r="B155" s="7"/>
      <c r="C155" s="7"/>
      <c r="D155" s="7"/>
      <c r="E155" s="8"/>
      <c r="F155" s="8"/>
      <c r="G155" s="4"/>
      <c r="H155" s="4"/>
      <c r="I155" s="4"/>
      <c r="J155" s="4"/>
      <c r="K155" s="4"/>
    </row>
    <row r="156" spans="1:15" ht="15.75" thickBot="1" x14ac:dyDescent="0.3">
      <c r="A156" s="6"/>
    </row>
    <row r="157" spans="1:15" x14ac:dyDescent="0.25">
      <c r="A157" s="197"/>
      <c r="B157" s="199"/>
      <c r="C157" s="200"/>
      <c r="D157" s="203"/>
      <c r="E157" s="203"/>
      <c r="F157" s="205"/>
      <c r="G157" s="207"/>
      <c r="H157" s="205"/>
      <c r="I157" s="205"/>
      <c r="J157" s="205"/>
      <c r="K157" s="209"/>
      <c r="L157" s="210"/>
      <c r="M157" s="209"/>
      <c r="N157" s="210"/>
      <c r="O157" s="211"/>
    </row>
    <row r="158" spans="1:15" x14ac:dyDescent="0.25">
      <c r="A158" s="219"/>
      <c r="B158" s="220"/>
      <c r="C158" s="221"/>
      <c r="D158" s="222"/>
      <c r="E158" s="222"/>
      <c r="F158" s="223"/>
      <c r="G158" s="224"/>
      <c r="H158" s="223"/>
      <c r="I158" s="223"/>
      <c r="J158" s="223"/>
      <c r="K158" s="9"/>
      <c r="L158" s="9"/>
      <c r="M158" s="9"/>
      <c r="N158" s="9"/>
      <c r="O158" s="218"/>
    </row>
    <row r="159" spans="1:15" ht="15.75" x14ac:dyDescent="0.25">
      <c r="A159" s="10"/>
      <c r="B159" s="216"/>
      <c r="C159" s="217"/>
      <c r="D159" s="12"/>
      <c r="E159" s="13"/>
      <c r="F159" s="18"/>
      <c r="G159" s="14"/>
      <c r="H159" s="18"/>
      <c r="I159" s="18"/>
      <c r="J159" s="18"/>
      <c r="K159" s="16"/>
      <c r="L159" s="17"/>
      <c r="M159" s="16"/>
      <c r="N159" s="17"/>
      <c r="O159" s="17"/>
    </row>
    <row r="160" spans="1:15" ht="15.75" x14ac:dyDescent="0.25">
      <c r="A160" s="10"/>
      <c r="B160" s="216"/>
      <c r="C160" s="217"/>
      <c r="D160" s="12"/>
      <c r="E160" s="13"/>
      <c r="F160" s="18"/>
      <c r="G160" s="14"/>
      <c r="H160" s="18"/>
      <c r="I160" s="18"/>
      <c r="J160" s="18"/>
      <c r="K160" s="16"/>
      <c r="L160" s="17"/>
      <c r="M160" s="16"/>
      <c r="N160" s="17"/>
      <c r="O160" s="17"/>
    </row>
    <row r="161" spans="1:15" ht="15.75" x14ac:dyDescent="0.25">
      <c r="A161" s="10"/>
      <c r="B161" s="216"/>
      <c r="C161" s="217"/>
      <c r="D161" s="12"/>
      <c r="E161" s="13"/>
      <c r="F161" s="18"/>
      <c r="G161" s="14"/>
      <c r="H161" s="18"/>
      <c r="I161" s="18"/>
      <c r="J161" s="18"/>
      <c r="K161" s="16"/>
      <c r="L161" s="17"/>
      <c r="M161" s="16"/>
      <c r="N161" s="17"/>
      <c r="O161" s="17"/>
    </row>
    <row r="162" spans="1:15" x14ac:dyDescent="0.25">
      <c r="A162" s="19"/>
      <c r="B162" s="216"/>
      <c r="C162" s="217"/>
      <c r="D162" s="11"/>
      <c r="E162" s="20"/>
      <c r="F162" s="10"/>
      <c r="G162" s="14"/>
      <c r="H162" s="18"/>
      <c r="I162" s="18"/>
      <c r="J162" s="18"/>
      <c r="K162" s="16"/>
      <c r="L162" s="17"/>
      <c r="M162" s="16"/>
      <c r="N162" s="17"/>
      <c r="O162" s="21"/>
    </row>
    <row r="163" spans="1:15" x14ac:dyDescent="0.25">
      <c r="A163" s="19"/>
      <c r="B163" s="216"/>
      <c r="C163" s="217"/>
      <c r="D163" s="11"/>
      <c r="E163" s="20"/>
      <c r="F163" s="10"/>
      <c r="G163" s="14"/>
      <c r="H163" s="14"/>
      <c r="I163" s="15"/>
      <c r="J163" s="15"/>
      <c r="K163" s="16"/>
      <c r="L163" s="17"/>
      <c r="M163" s="16"/>
      <c r="N163" s="17"/>
      <c r="O163" s="21"/>
    </row>
    <row r="164" spans="1:15" ht="15.75" thickBot="1" x14ac:dyDescent="0.3">
      <c r="A164" s="181"/>
      <c r="B164" s="182"/>
      <c r="C164" s="182"/>
      <c r="D164" s="182"/>
      <c r="E164" s="182"/>
      <c r="F164" s="183"/>
      <c r="G164" s="22"/>
      <c r="H164" s="22"/>
      <c r="I164" s="23"/>
      <c r="J164" s="23"/>
      <c r="K164" s="24"/>
      <c r="L164" s="23"/>
      <c r="M164" s="24"/>
      <c r="N164" s="23"/>
      <c r="O164" s="25"/>
    </row>
    <row r="165" spans="1:15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184"/>
      <c r="L165" s="185"/>
      <c r="M165" s="185"/>
      <c r="N165" s="186"/>
      <c r="O165" s="27"/>
    </row>
    <row r="166" spans="1:15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187"/>
      <c r="L166" s="188"/>
      <c r="M166" s="188"/>
      <c r="N166" s="189"/>
      <c r="O166" s="28"/>
    </row>
    <row r="167" spans="1:15" ht="15.75" thickBot="1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190"/>
      <c r="L167" s="191"/>
      <c r="M167" s="191"/>
      <c r="N167" s="192"/>
      <c r="O167" s="29"/>
    </row>
    <row r="168" spans="1:15" ht="15.75" thickBo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1"/>
      <c r="L168" s="31"/>
      <c r="M168" s="31"/>
      <c r="N168" s="31"/>
      <c r="O168" s="32"/>
    </row>
    <row r="169" spans="1:15" ht="16.5" thickBot="1" x14ac:dyDescent="0.3">
      <c r="A169" s="33"/>
      <c r="B169" s="51"/>
      <c r="C169" s="34"/>
      <c r="D169" s="35"/>
      <c r="E169" s="34"/>
      <c r="F169" s="34"/>
      <c r="G169" s="34"/>
      <c r="H169" s="34"/>
      <c r="I169" s="34"/>
      <c r="J169" s="34"/>
      <c r="K169" s="52"/>
      <c r="L169" s="52"/>
      <c r="M169" s="53"/>
      <c r="N169" s="31"/>
      <c r="O169" s="32"/>
    </row>
    <row r="170" spans="1:15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1"/>
      <c r="L170" s="31"/>
      <c r="M170" s="31"/>
      <c r="N170" s="31"/>
      <c r="O170" s="32"/>
    </row>
    <row r="171" spans="1:15" x14ac:dyDescent="0.25">
      <c r="A171" s="170"/>
      <c r="B171" s="170"/>
      <c r="C171" s="170"/>
      <c r="D171" s="170"/>
      <c r="E171" s="170"/>
    </row>
    <row r="172" spans="1:15" x14ac:dyDescent="0.25">
      <c r="A172" s="36"/>
      <c r="B172" s="37"/>
      <c r="C172" s="1"/>
      <c r="D172" s="1"/>
      <c r="E172" s="1"/>
      <c r="F172" s="1"/>
      <c r="G172" s="1"/>
      <c r="H172" s="1"/>
      <c r="I172" s="1"/>
      <c r="J172" s="1"/>
      <c r="K172" s="1"/>
    </row>
    <row r="173" spans="1:15" x14ac:dyDescent="0.25">
      <c r="K173" s="169"/>
      <c r="L173" s="169"/>
      <c r="M173" s="169"/>
      <c r="N173" s="169"/>
      <c r="O173" s="169"/>
    </row>
    <row r="174" spans="1:15" x14ac:dyDescent="0.25">
      <c r="B174" s="2"/>
      <c r="C174" s="2"/>
      <c r="D174" s="2"/>
      <c r="F174" s="5"/>
      <c r="G174" s="5"/>
      <c r="H174" s="5"/>
      <c r="I174" s="5"/>
      <c r="J174" s="5"/>
    </row>
    <row r="175" spans="1:15" x14ac:dyDescent="0.25">
      <c r="B175" s="2"/>
      <c r="D175" s="38"/>
      <c r="K175" s="170"/>
      <c r="L175" s="170"/>
      <c r="M175" s="170"/>
      <c r="N175" s="170"/>
      <c r="O175" s="170"/>
    </row>
    <row r="176" spans="1:15" x14ac:dyDescent="0.25">
      <c r="B176" s="2"/>
      <c r="D176" s="38"/>
    </row>
    <row r="177" spans="1:15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1"/>
      <c r="L177" s="31"/>
      <c r="M177" s="31"/>
      <c r="N177" s="31"/>
      <c r="O177" s="32"/>
    </row>
    <row r="178" spans="1:15" x14ac:dyDescent="0.25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</row>
    <row r="179" spans="1:15" x14ac:dyDescent="0.25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</row>
    <row r="180" spans="1:15" x14ac:dyDescent="0.25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</row>
    <row r="181" spans="1:15" x14ac:dyDescent="0.25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</row>
    <row r="182" spans="1:15" x14ac:dyDescent="0.25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</row>
    <row r="183" spans="1:15" x14ac:dyDescent="0.25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</row>
    <row r="184" spans="1:15" x14ac:dyDescent="0.25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</row>
    <row r="185" spans="1:15" ht="15.7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/>
    </row>
    <row r="186" spans="1:15" ht="15.7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</row>
    <row r="187" spans="1:15" ht="15.7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/>
    </row>
    <row r="188" spans="1:15" ht="15.7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</row>
    <row r="189" spans="1:15" ht="15.7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/>
    </row>
    <row r="190" spans="1:15" ht="15.75" x14ac:dyDescent="0.25">
      <c r="A190" s="3"/>
      <c r="B190" s="3"/>
      <c r="C190" s="3"/>
      <c r="D190" s="3"/>
      <c r="E190" s="3"/>
      <c r="F190" s="3"/>
      <c r="G190" s="3"/>
      <c r="H190" s="196"/>
      <c r="I190" s="196"/>
      <c r="J190" s="196"/>
      <c r="K190" s="3"/>
      <c r="L190" s="3"/>
      <c r="M190" s="3"/>
      <c r="N190" s="3"/>
      <c r="O190" s="4"/>
    </row>
    <row r="191" spans="1:15" ht="15.75" x14ac:dyDescent="0.25">
      <c r="A191" s="3"/>
      <c r="B191" s="3"/>
      <c r="C191" s="3"/>
      <c r="D191" s="3"/>
      <c r="E191" s="3"/>
      <c r="F191" s="3"/>
      <c r="G191" s="3"/>
      <c r="H191" s="3"/>
      <c r="I191" s="196"/>
      <c r="J191" s="196"/>
      <c r="K191" s="3"/>
      <c r="L191" s="3"/>
      <c r="M191" s="3"/>
      <c r="N191" s="3"/>
      <c r="O191" s="4"/>
    </row>
    <row r="192" spans="1:15" x14ac:dyDescent="0.25">
      <c r="A192" s="5"/>
    </row>
    <row r="193" spans="1:15" x14ac:dyDescent="0.25">
      <c r="A193" s="6"/>
    </row>
    <row r="194" spans="1:15" ht="15.75" x14ac:dyDescent="0.25">
      <c r="A194" s="7"/>
    </row>
    <row r="195" spans="1:15" x14ac:dyDescent="0.25">
      <c r="A195" s="6"/>
    </row>
    <row r="196" spans="1:15" ht="15.75" x14ac:dyDescent="0.25">
      <c r="A196" s="6"/>
      <c r="B196" s="7"/>
      <c r="C196" s="7"/>
      <c r="D196" s="7"/>
      <c r="E196" s="7"/>
      <c r="F196" s="7"/>
      <c r="G196" s="4"/>
      <c r="H196" s="4"/>
      <c r="I196" s="4"/>
      <c r="J196" s="4"/>
      <c r="K196" s="4"/>
    </row>
    <row r="197" spans="1:15" ht="15.75" x14ac:dyDescent="0.25">
      <c r="A197" s="6"/>
      <c r="B197" s="7"/>
      <c r="C197" s="7"/>
      <c r="D197" s="7"/>
      <c r="E197" s="8"/>
      <c r="F197" s="8"/>
      <c r="G197" s="4"/>
      <c r="H197" s="4"/>
      <c r="I197" s="4"/>
      <c r="J197" s="4"/>
      <c r="K197" s="4"/>
    </row>
    <row r="198" spans="1:15" ht="15.75" thickBot="1" x14ac:dyDescent="0.3">
      <c r="A198" s="6"/>
    </row>
    <row r="199" spans="1:15" x14ac:dyDescent="0.25">
      <c r="A199" s="197"/>
      <c r="B199" s="199"/>
      <c r="C199" s="200"/>
      <c r="D199" s="203"/>
      <c r="E199" s="203"/>
      <c r="F199" s="205"/>
      <c r="G199" s="207"/>
      <c r="H199" s="205"/>
      <c r="I199" s="205"/>
      <c r="J199" s="205"/>
      <c r="K199" s="209"/>
      <c r="L199" s="210"/>
      <c r="M199" s="209"/>
      <c r="N199" s="210"/>
      <c r="O199" s="211"/>
    </row>
    <row r="200" spans="1:15" x14ac:dyDescent="0.25">
      <c r="A200" s="198"/>
      <c r="B200" s="201"/>
      <c r="C200" s="202"/>
      <c r="D200" s="204"/>
      <c r="E200" s="204"/>
      <c r="F200" s="206"/>
      <c r="G200" s="208"/>
      <c r="H200" s="206"/>
      <c r="I200" s="206"/>
      <c r="J200" s="206"/>
      <c r="K200" s="9"/>
      <c r="L200" s="9"/>
      <c r="M200" s="9"/>
      <c r="N200" s="9"/>
      <c r="O200" s="212"/>
    </row>
    <row r="201" spans="1:15" ht="15.75" x14ac:dyDescent="0.25">
      <c r="A201" s="10"/>
      <c r="B201" s="193"/>
      <c r="C201" s="193"/>
      <c r="D201" s="12"/>
      <c r="E201" s="13"/>
      <c r="F201" s="14"/>
      <c r="G201" s="14"/>
      <c r="H201" s="14"/>
      <c r="I201" s="15"/>
      <c r="J201" s="15"/>
      <c r="K201" s="16"/>
      <c r="L201" s="17"/>
      <c r="M201" s="16"/>
      <c r="N201" s="17"/>
      <c r="O201" s="17"/>
    </row>
    <row r="202" spans="1:15" ht="15.75" x14ac:dyDescent="0.25">
      <c r="A202" s="10"/>
      <c r="B202" s="193"/>
      <c r="C202" s="193"/>
      <c r="D202" s="12"/>
      <c r="E202" s="13"/>
      <c r="F202" s="18"/>
      <c r="G202" s="14"/>
      <c r="H202" s="18"/>
      <c r="I202" s="18"/>
      <c r="J202" s="18"/>
      <c r="K202" s="16"/>
      <c r="L202" s="17"/>
      <c r="M202" s="16"/>
      <c r="N202" s="17"/>
      <c r="O202" s="17"/>
    </row>
    <row r="203" spans="1:15" ht="15.75" x14ac:dyDescent="0.25">
      <c r="A203" s="10"/>
      <c r="B203" s="193"/>
      <c r="C203" s="193"/>
      <c r="D203" s="12"/>
      <c r="E203" s="13"/>
      <c r="F203" s="18"/>
      <c r="G203" s="14"/>
      <c r="H203" s="18"/>
      <c r="I203" s="18"/>
      <c r="J203" s="18"/>
      <c r="K203" s="16"/>
      <c r="L203" s="17"/>
      <c r="M203" s="16"/>
      <c r="N203" s="17"/>
      <c r="O203" s="17"/>
    </row>
    <row r="204" spans="1:15" x14ac:dyDescent="0.25">
      <c r="A204" s="19"/>
      <c r="B204" s="193"/>
      <c r="C204" s="193"/>
      <c r="D204" s="11"/>
      <c r="E204" s="20"/>
      <c r="F204" s="10"/>
      <c r="G204" s="14"/>
      <c r="H204" s="18"/>
      <c r="I204" s="18"/>
      <c r="J204" s="18"/>
      <c r="K204" s="16"/>
      <c r="L204" s="17"/>
      <c r="M204" s="16"/>
      <c r="N204" s="17"/>
      <c r="O204" s="21"/>
    </row>
    <row r="205" spans="1:15" x14ac:dyDescent="0.25">
      <c r="A205" s="19"/>
      <c r="B205" s="193"/>
      <c r="C205" s="193"/>
      <c r="D205" s="11"/>
      <c r="E205" s="20"/>
      <c r="F205" s="10"/>
      <c r="G205" s="14"/>
      <c r="H205" s="14"/>
      <c r="I205" s="15"/>
      <c r="J205" s="15"/>
      <c r="K205" s="16"/>
      <c r="L205" s="17"/>
      <c r="M205" s="16"/>
      <c r="N205" s="17"/>
      <c r="O205" s="21"/>
    </row>
    <row r="206" spans="1:15" ht="15.75" thickBot="1" x14ac:dyDescent="0.3">
      <c r="A206" s="181"/>
      <c r="B206" s="182"/>
      <c r="C206" s="182"/>
      <c r="D206" s="182"/>
      <c r="E206" s="182"/>
      <c r="F206" s="183"/>
      <c r="G206" s="22"/>
      <c r="H206" s="22"/>
      <c r="I206" s="23"/>
      <c r="J206" s="23"/>
      <c r="K206" s="24"/>
      <c r="L206" s="23"/>
      <c r="M206" s="24"/>
      <c r="N206" s="23"/>
      <c r="O206" s="25"/>
    </row>
    <row r="207" spans="1:15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184"/>
      <c r="L207" s="185"/>
      <c r="M207" s="185"/>
      <c r="N207" s="186"/>
      <c r="O207" s="27"/>
    </row>
    <row r="208" spans="1:15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187"/>
      <c r="L208" s="188"/>
      <c r="M208" s="188"/>
      <c r="N208" s="189"/>
      <c r="O208" s="28"/>
    </row>
    <row r="209" spans="1:15" ht="15.75" thickBot="1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190"/>
      <c r="L209" s="191"/>
      <c r="M209" s="191"/>
      <c r="N209" s="192"/>
      <c r="O209" s="29"/>
    </row>
    <row r="210" spans="1:15" ht="15.75" thickBo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1"/>
      <c r="L210" s="31"/>
      <c r="M210" s="31"/>
      <c r="N210" s="31"/>
      <c r="O210" s="32"/>
    </row>
    <row r="211" spans="1:15" ht="16.5" thickBot="1" x14ac:dyDescent="0.3">
      <c r="A211" s="33"/>
      <c r="B211" s="34"/>
      <c r="C211" s="34"/>
      <c r="D211" s="35"/>
      <c r="E211" s="30"/>
      <c r="F211" s="30"/>
      <c r="G211" s="30"/>
      <c r="H211" s="30"/>
      <c r="I211" s="30"/>
      <c r="J211" s="30"/>
      <c r="K211" s="31"/>
      <c r="L211" s="31"/>
      <c r="M211" s="31"/>
      <c r="N211" s="31"/>
      <c r="O211" s="32"/>
    </row>
    <row r="212" spans="1:15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1"/>
      <c r="L212" s="31"/>
      <c r="M212" s="31"/>
      <c r="N212" s="31"/>
      <c r="O212" s="32"/>
    </row>
    <row r="213" spans="1:15" x14ac:dyDescent="0.25">
      <c r="A213" s="170"/>
      <c r="B213" s="170"/>
      <c r="C213" s="170"/>
      <c r="D213" s="170"/>
      <c r="E213" s="170"/>
    </row>
    <row r="214" spans="1:15" x14ac:dyDescent="0.25">
      <c r="A214" s="36"/>
      <c r="B214" s="37"/>
      <c r="C214" s="1"/>
      <c r="D214" s="1"/>
      <c r="E214" s="1"/>
      <c r="F214" s="1"/>
      <c r="G214" s="1"/>
      <c r="H214" s="1"/>
      <c r="I214" s="1"/>
      <c r="J214" s="1"/>
      <c r="K214" s="1"/>
    </row>
    <row r="215" spans="1:15" x14ac:dyDescent="0.25">
      <c r="K215" s="169"/>
      <c r="L215" s="169"/>
      <c r="M215" s="169"/>
      <c r="N215" s="169"/>
      <c r="O215" s="169"/>
    </row>
    <row r="216" spans="1:15" x14ac:dyDescent="0.25">
      <c r="B216" s="2"/>
      <c r="C216" s="2"/>
      <c r="D216" s="2"/>
      <c r="F216" s="5"/>
      <c r="G216" s="5"/>
      <c r="H216" s="5"/>
      <c r="I216" s="5"/>
      <c r="J216" s="5"/>
    </row>
    <row r="217" spans="1:15" x14ac:dyDescent="0.25">
      <c r="B217" s="2"/>
      <c r="D217" s="38"/>
      <c r="K217" s="170"/>
      <c r="L217" s="170"/>
      <c r="M217" s="170"/>
      <c r="N217" s="170"/>
      <c r="O217" s="170"/>
    </row>
    <row r="218" spans="1:15" x14ac:dyDescent="0.25">
      <c r="B218" s="2"/>
      <c r="D218" s="38"/>
    </row>
    <row r="219" spans="1:15" x14ac:dyDescent="0.25">
      <c r="L219" s="2"/>
    </row>
    <row r="221" spans="1:15" x14ac:dyDescent="0.25">
      <c r="B221" s="2"/>
      <c r="C221" s="2"/>
      <c r="D221" s="2"/>
      <c r="F221" s="5"/>
      <c r="G221" s="5"/>
      <c r="H221" s="5"/>
      <c r="I221" s="5"/>
      <c r="J221" s="5"/>
    </row>
    <row r="222" spans="1:15" x14ac:dyDescent="0.25">
      <c r="B222" s="2"/>
      <c r="D222" s="38"/>
      <c r="K222" s="170"/>
      <c r="L222" s="170"/>
      <c r="M222" s="170"/>
      <c r="N222" s="170"/>
      <c r="O222" s="170"/>
    </row>
    <row r="223" spans="1:15" x14ac:dyDescent="0.25">
      <c r="B223" s="2"/>
      <c r="D223" s="38"/>
    </row>
    <row r="224" spans="1:15" x14ac:dyDescent="0.25">
      <c r="B224" s="2"/>
      <c r="D224" s="38"/>
    </row>
    <row r="225" spans="1:15" x14ac:dyDescent="0.25">
      <c r="B225" s="2"/>
      <c r="D225" s="38"/>
    </row>
    <row r="226" spans="1:15" x14ac:dyDescent="0.25">
      <c r="B226" s="2"/>
      <c r="D226" s="38"/>
    </row>
    <row r="227" spans="1:15" x14ac:dyDescent="0.25">
      <c r="A227" s="215"/>
      <c r="B227" s="215"/>
      <c r="C227" s="215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170"/>
      <c r="O227" s="170"/>
    </row>
    <row r="228" spans="1:15" x14ac:dyDescent="0.25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</row>
    <row r="229" spans="1:15" x14ac:dyDescent="0.25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</row>
    <row r="230" spans="1:15" x14ac:dyDescent="0.25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</row>
    <row r="231" spans="1:15" x14ac:dyDescent="0.25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</row>
    <row r="232" spans="1:15" x14ac:dyDescent="0.25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</row>
    <row r="233" spans="1:15" x14ac:dyDescent="0.25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</row>
    <row r="234" spans="1:15" x14ac:dyDescent="0.25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</row>
    <row r="235" spans="1:15" ht="15.7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4"/>
    </row>
    <row r="236" spans="1:15" ht="15.7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4"/>
    </row>
    <row r="237" spans="1:15" ht="15.7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4"/>
    </row>
    <row r="238" spans="1:15" ht="15.7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4"/>
    </row>
    <row r="239" spans="1:15" ht="15.7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4"/>
    </row>
    <row r="240" spans="1:15" ht="15.75" x14ac:dyDescent="0.25">
      <c r="A240" s="3"/>
      <c r="B240" s="3"/>
      <c r="C240" s="3"/>
      <c r="D240" s="3"/>
      <c r="E240" s="3"/>
      <c r="F240" s="3"/>
      <c r="G240" s="3"/>
      <c r="H240" s="196"/>
      <c r="I240" s="196"/>
      <c r="J240" s="196"/>
      <c r="K240" s="3"/>
      <c r="L240" s="3"/>
      <c r="M240" s="3"/>
      <c r="N240" s="3"/>
      <c r="O240" s="4"/>
    </row>
    <row r="241" spans="1:15" ht="15.75" x14ac:dyDescent="0.25">
      <c r="A241" s="3"/>
      <c r="B241" s="3"/>
      <c r="C241" s="3"/>
      <c r="D241" s="3"/>
      <c r="E241" s="3"/>
      <c r="F241" s="3"/>
      <c r="G241" s="3"/>
      <c r="H241" s="3"/>
      <c r="I241" s="196"/>
      <c r="J241" s="196"/>
      <c r="K241" s="3"/>
      <c r="L241" s="3"/>
      <c r="M241" s="3"/>
      <c r="N241" s="3"/>
      <c r="O241" s="4"/>
    </row>
    <row r="242" spans="1:15" x14ac:dyDescent="0.25">
      <c r="A242" s="5"/>
    </row>
    <row r="243" spans="1:15" x14ac:dyDescent="0.25">
      <c r="A243" s="6"/>
    </row>
    <row r="244" spans="1:15" ht="15.75" x14ac:dyDescent="0.25">
      <c r="A244" s="7"/>
    </row>
    <row r="245" spans="1:15" x14ac:dyDescent="0.25">
      <c r="A245" s="6"/>
    </row>
    <row r="246" spans="1:15" ht="15.75" x14ac:dyDescent="0.25">
      <c r="A246" s="6"/>
      <c r="B246" s="7"/>
      <c r="C246" s="7"/>
      <c r="D246" s="7"/>
      <c r="E246" s="7"/>
      <c r="F246" s="7"/>
      <c r="G246" s="4"/>
      <c r="H246" s="4"/>
      <c r="I246" s="4"/>
      <c r="J246" s="4"/>
      <c r="K246" s="4"/>
    </row>
    <row r="247" spans="1:15" ht="15.75" x14ac:dyDescent="0.25">
      <c r="A247" s="6"/>
      <c r="B247" s="7"/>
      <c r="C247" s="7"/>
      <c r="D247" s="7"/>
      <c r="E247" s="8"/>
      <c r="F247" s="8"/>
      <c r="G247" s="4"/>
      <c r="H247" s="4"/>
      <c r="I247" s="4"/>
      <c r="J247" s="4"/>
      <c r="K247" s="4"/>
    </row>
    <row r="248" spans="1:15" ht="15.75" thickBot="1" x14ac:dyDescent="0.3">
      <c r="A248" s="6"/>
    </row>
    <row r="249" spans="1:15" x14ac:dyDescent="0.25">
      <c r="A249" s="197"/>
      <c r="B249" s="199"/>
      <c r="C249" s="200"/>
      <c r="D249" s="203"/>
      <c r="E249" s="203"/>
      <c r="F249" s="205"/>
      <c r="G249" s="207"/>
      <c r="H249" s="205"/>
      <c r="I249" s="205"/>
      <c r="J249" s="205"/>
      <c r="K249" s="209"/>
      <c r="L249" s="210"/>
      <c r="M249" s="209"/>
      <c r="N249" s="210"/>
      <c r="O249" s="211"/>
    </row>
    <row r="250" spans="1:15" x14ac:dyDescent="0.25">
      <c r="A250" s="198"/>
      <c r="B250" s="201"/>
      <c r="C250" s="202"/>
      <c r="D250" s="204"/>
      <c r="E250" s="204"/>
      <c r="F250" s="206"/>
      <c r="G250" s="208"/>
      <c r="H250" s="206"/>
      <c r="I250" s="206"/>
      <c r="J250" s="206"/>
      <c r="K250" s="9"/>
      <c r="L250" s="9"/>
      <c r="M250" s="9"/>
      <c r="N250" s="9"/>
      <c r="O250" s="212"/>
    </row>
    <row r="251" spans="1:15" ht="15.75" x14ac:dyDescent="0.25">
      <c r="A251" s="10"/>
      <c r="B251" s="193"/>
      <c r="C251" s="193"/>
      <c r="D251" s="12"/>
      <c r="E251" s="13"/>
      <c r="F251" s="18"/>
      <c r="G251" s="18"/>
      <c r="H251" s="18"/>
      <c r="I251" s="18"/>
      <c r="J251" s="18"/>
      <c r="K251" s="16"/>
      <c r="L251" s="17"/>
      <c r="M251" s="16"/>
      <c r="N251" s="17"/>
      <c r="O251" s="17"/>
    </row>
    <row r="252" spans="1:15" ht="15.75" x14ac:dyDescent="0.25">
      <c r="A252" s="10"/>
      <c r="B252" s="193"/>
      <c r="C252" s="193"/>
      <c r="D252" s="12"/>
      <c r="E252" s="13"/>
      <c r="F252" s="18"/>
      <c r="G252" s="14"/>
      <c r="H252" s="18"/>
      <c r="I252" s="18"/>
      <c r="J252" s="18"/>
      <c r="K252" s="16"/>
      <c r="L252" s="17"/>
      <c r="M252" s="16"/>
      <c r="N252" s="17"/>
      <c r="O252" s="17"/>
    </row>
    <row r="253" spans="1:15" ht="15.75" x14ac:dyDescent="0.25">
      <c r="A253" s="10"/>
      <c r="B253" s="193"/>
      <c r="C253" s="193"/>
      <c r="D253" s="12"/>
      <c r="E253" s="13"/>
      <c r="F253" s="18"/>
      <c r="G253" s="14"/>
      <c r="H253" s="18"/>
      <c r="I253" s="18"/>
      <c r="J253" s="18"/>
      <c r="K253" s="16"/>
      <c r="L253" s="17"/>
      <c r="M253" s="16"/>
      <c r="N253" s="17"/>
      <c r="O253" s="17"/>
    </row>
    <row r="254" spans="1:15" x14ac:dyDescent="0.25">
      <c r="A254" s="19"/>
      <c r="B254" s="193"/>
      <c r="C254" s="193"/>
      <c r="D254" s="11"/>
      <c r="E254" s="20"/>
      <c r="F254" s="10"/>
      <c r="G254" s="14"/>
      <c r="H254" s="18"/>
      <c r="I254" s="18"/>
      <c r="J254" s="18"/>
      <c r="K254" s="16"/>
      <c r="L254" s="17"/>
      <c r="M254" s="16"/>
      <c r="N254" s="17"/>
      <c r="O254" s="21"/>
    </row>
    <row r="255" spans="1:15" x14ac:dyDescent="0.25">
      <c r="A255" s="19"/>
      <c r="B255" s="193"/>
      <c r="C255" s="193"/>
      <c r="D255" s="11"/>
      <c r="E255" s="20"/>
      <c r="F255" s="10"/>
      <c r="G255" s="14"/>
      <c r="H255" s="14"/>
      <c r="I255" s="15"/>
      <c r="J255" s="15"/>
      <c r="K255" s="16"/>
      <c r="L255" s="17"/>
      <c r="M255" s="16"/>
      <c r="N255" s="17"/>
      <c r="O255" s="21"/>
    </row>
    <row r="256" spans="1:15" ht="15.75" thickBot="1" x14ac:dyDescent="0.3">
      <c r="A256" s="181"/>
      <c r="B256" s="182"/>
      <c r="C256" s="182"/>
      <c r="D256" s="182"/>
      <c r="E256" s="182"/>
      <c r="F256" s="183"/>
      <c r="G256" s="22"/>
      <c r="H256" s="22"/>
      <c r="I256" s="23"/>
      <c r="J256" s="23"/>
      <c r="K256" s="24"/>
      <c r="L256" s="23"/>
      <c r="M256" s="24"/>
      <c r="N256" s="23"/>
      <c r="O256" s="25"/>
    </row>
    <row r="257" spans="1:15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184"/>
      <c r="L257" s="185"/>
      <c r="M257" s="185"/>
      <c r="N257" s="186"/>
      <c r="O257" s="27"/>
    </row>
    <row r="258" spans="1:15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187"/>
      <c r="L258" s="188"/>
      <c r="M258" s="188"/>
      <c r="N258" s="189"/>
      <c r="O258" s="28"/>
    </row>
    <row r="259" spans="1:15" ht="15.75" thickBot="1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190"/>
      <c r="L259" s="191"/>
      <c r="M259" s="191"/>
      <c r="N259" s="192"/>
      <c r="O259" s="29"/>
    </row>
    <row r="260" spans="1:15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1"/>
      <c r="L260" s="31"/>
      <c r="M260" s="31"/>
      <c r="N260" s="31"/>
      <c r="O260" s="32"/>
    </row>
    <row r="261" spans="1:15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1"/>
      <c r="L261" s="31"/>
      <c r="M261" s="31"/>
      <c r="N261" s="31"/>
      <c r="O261" s="32"/>
    </row>
    <row r="262" spans="1:15" ht="15.75" thickBo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1"/>
      <c r="L262" s="31"/>
      <c r="M262" s="31"/>
      <c r="N262" s="31"/>
      <c r="O262" s="32"/>
    </row>
    <row r="263" spans="1:15" ht="16.5" thickBot="1" x14ac:dyDescent="0.3">
      <c r="A263" s="33"/>
      <c r="B263" s="34"/>
      <c r="C263" s="34"/>
      <c r="D263" s="35"/>
      <c r="E263" s="30"/>
      <c r="F263" s="30"/>
      <c r="G263" s="30"/>
      <c r="H263" s="30"/>
      <c r="I263" s="30"/>
      <c r="J263" s="30"/>
      <c r="K263" s="31"/>
      <c r="L263" s="31"/>
      <c r="M263" s="31"/>
      <c r="N263" s="31"/>
      <c r="O263" s="32"/>
    </row>
    <row r="264" spans="1:15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1"/>
      <c r="L264" s="31"/>
      <c r="M264" s="31"/>
      <c r="N264" s="31"/>
      <c r="O264" s="32"/>
    </row>
    <row r="265" spans="1:15" x14ac:dyDescent="0.25">
      <c r="A265" s="170"/>
      <c r="B265" s="170"/>
      <c r="C265" s="170"/>
      <c r="D265" s="170"/>
      <c r="E265" s="170"/>
    </row>
    <row r="266" spans="1:15" x14ac:dyDescent="0.25">
      <c r="A266" s="36"/>
      <c r="B266" s="37"/>
      <c r="C266" s="1"/>
      <c r="D266" s="1"/>
      <c r="E266" s="1"/>
      <c r="F266" s="1"/>
      <c r="G266" s="1"/>
      <c r="H266" s="1"/>
      <c r="I266" s="1"/>
      <c r="J266" s="1"/>
      <c r="K266" s="1"/>
    </row>
    <row r="267" spans="1:15" x14ac:dyDescent="0.25">
      <c r="K267" s="169"/>
      <c r="L267" s="169"/>
      <c r="M267" s="169"/>
      <c r="N267" s="169"/>
      <c r="O267" s="169"/>
    </row>
    <row r="268" spans="1:15" x14ac:dyDescent="0.25">
      <c r="B268" s="2"/>
      <c r="C268" s="2"/>
      <c r="D268" s="2"/>
      <c r="F268" s="5"/>
      <c r="G268" s="5"/>
      <c r="H268" s="5"/>
      <c r="I268" s="5"/>
      <c r="J268" s="5"/>
    </row>
    <row r="269" spans="1:15" x14ac:dyDescent="0.25">
      <c r="B269" s="2"/>
      <c r="D269" s="38"/>
      <c r="K269" s="170"/>
      <c r="L269" s="170"/>
      <c r="M269" s="170"/>
      <c r="N269" s="170"/>
      <c r="O269" s="170"/>
    </row>
    <row r="270" spans="1:15" x14ac:dyDescent="0.25">
      <c r="B270" s="2"/>
      <c r="D270" s="38"/>
    </row>
    <row r="271" spans="1:15" x14ac:dyDescent="0.25">
      <c r="B271" s="2"/>
      <c r="D271" s="38"/>
    </row>
  </sheetData>
  <mergeCells count="197">
    <mergeCell ref="A6:O6"/>
    <mergeCell ref="A1:O1"/>
    <mergeCell ref="A2:O2"/>
    <mergeCell ref="A3:O3"/>
    <mergeCell ref="A4:O4"/>
    <mergeCell ref="A5:O5"/>
    <mergeCell ref="H12:J12"/>
    <mergeCell ref="I13:J13"/>
    <mergeCell ref="A21:A22"/>
    <mergeCell ref="B21:C22"/>
    <mergeCell ref="D21:D22"/>
    <mergeCell ref="E21:E22"/>
    <mergeCell ref="F21:F22"/>
    <mergeCell ref="G21:G22"/>
    <mergeCell ref="H21:H22"/>
    <mergeCell ref="I21:I22"/>
    <mergeCell ref="A51:O51"/>
    <mergeCell ref="A52:O52"/>
    <mergeCell ref="B25:C25"/>
    <mergeCell ref="B26:C26"/>
    <mergeCell ref="B27:C27"/>
    <mergeCell ref="B28:C28"/>
    <mergeCell ref="A29:F29"/>
    <mergeCell ref="K30:N30"/>
    <mergeCell ref="J21:J22"/>
    <mergeCell ref="K21:L21"/>
    <mergeCell ref="M21:N21"/>
    <mergeCell ref="O21:O22"/>
    <mergeCell ref="B23:C23"/>
    <mergeCell ref="B24:C24"/>
    <mergeCell ref="K31:N31"/>
    <mergeCell ref="K32:N32"/>
    <mergeCell ref="A36:E36"/>
    <mergeCell ref="K38:O38"/>
    <mergeCell ref="K40:O40"/>
    <mergeCell ref="A47:O47"/>
    <mergeCell ref="A48:O48"/>
    <mergeCell ref="A49:O49"/>
    <mergeCell ref="A50:O50"/>
    <mergeCell ref="K67:L67"/>
    <mergeCell ref="M67:N67"/>
    <mergeCell ref="O67:O68"/>
    <mergeCell ref="B69:C69"/>
    <mergeCell ref="B70:C70"/>
    <mergeCell ref="B71:C71"/>
    <mergeCell ref="I59:J59"/>
    <mergeCell ref="A67:A68"/>
    <mergeCell ref="B67:C68"/>
    <mergeCell ref="D67:D68"/>
    <mergeCell ref="E67:E68"/>
    <mergeCell ref="F67:F68"/>
    <mergeCell ref="G67:G68"/>
    <mergeCell ref="H67:H68"/>
    <mergeCell ref="I67:I68"/>
    <mergeCell ref="J67:J68"/>
    <mergeCell ref="B72:C72"/>
    <mergeCell ref="B73:C73"/>
    <mergeCell ref="K76:N76"/>
    <mergeCell ref="K77:N77"/>
    <mergeCell ref="A74:F74"/>
    <mergeCell ref="K75:N75"/>
    <mergeCell ref="A81:E81"/>
    <mergeCell ref="K83:O83"/>
    <mergeCell ref="K85:O85"/>
    <mergeCell ref="K120:N120"/>
    <mergeCell ref="A126:E126"/>
    <mergeCell ref="B115:C115"/>
    <mergeCell ref="B116:C116"/>
    <mergeCell ref="B117:C117"/>
    <mergeCell ref="B118:C118"/>
    <mergeCell ref="A119:F119"/>
    <mergeCell ref="A97:O97"/>
    <mergeCell ref="A92:O92"/>
    <mergeCell ref="A93:O93"/>
    <mergeCell ref="A94:O94"/>
    <mergeCell ref="A95:O95"/>
    <mergeCell ref="A96:O96"/>
    <mergeCell ref="A139:O139"/>
    <mergeCell ref="A140:O140"/>
    <mergeCell ref="A141:O141"/>
    <mergeCell ref="A142:O142"/>
    <mergeCell ref="H148:J148"/>
    <mergeCell ref="A136:O136"/>
    <mergeCell ref="A137:O137"/>
    <mergeCell ref="A138:O138"/>
    <mergeCell ref="K121:N121"/>
    <mergeCell ref="K122:N122"/>
    <mergeCell ref="K128:O128"/>
    <mergeCell ref="K130:O130"/>
    <mergeCell ref="I149:J149"/>
    <mergeCell ref="A157:A158"/>
    <mergeCell ref="B157:C158"/>
    <mergeCell ref="D157:D158"/>
    <mergeCell ref="E157:E158"/>
    <mergeCell ref="F157:F158"/>
    <mergeCell ref="G157:G158"/>
    <mergeCell ref="H157:H158"/>
    <mergeCell ref="I157:I158"/>
    <mergeCell ref="J157:J158"/>
    <mergeCell ref="B161:C161"/>
    <mergeCell ref="B162:C162"/>
    <mergeCell ref="B163:C163"/>
    <mergeCell ref="A164:F164"/>
    <mergeCell ref="K165:N165"/>
    <mergeCell ref="K157:L157"/>
    <mergeCell ref="M157:N157"/>
    <mergeCell ref="O157:O158"/>
    <mergeCell ref="B159:C159"/>
    <mergeCell ref="B160:C160"/>
    <mergeCell ref="A178:O178"/>
    <mergeCell ref="A179:O179"/>
    <mergeCell ref="A180:O180"/>
    <mergeCell ref="A181:O181"/>
    <mergeCell ref="A182:O182"/>
    <mergeCell ref="K166:N166"/>
    <mergeCell ref="K167:N167"/>
    <mergeCell ref="A171:E171"/>
    <mergeCell ref="K173:O173"/>
    <mergeCell ref="K175:O175"/>
    <mergeCell ref="A183:O183"/>
    <mergeCell ref="A184:O184"/>
    <mergeCell ref="H190:J190"/>
    <mergeCell ref="I191:J191"/>
    <mergeCell ref="A199:A200"/>
    <mergeCell ref="B199:C200"/>
    <mergeCell ref="D199:D200"/>
    <mergeCell ref="E199:E200"/>
    <mergeCell ref="F199:F200"/>
    <mergeCell ref="G199:G200"/>
    <mergeCell ref="H199:H200"/>
    <mergeCell ref="I199:I200"/>
    <mergeCell ref="J199:J200"/>
    <mergeCell ref="K199:L199"/>
    <mergeCell ref="M199:N199"/>
    <mergeCell ref="O199:O200"/>
    <mergeCell ref="A206:F206"/>
    <mergeCell ref="K207:N207"/>
    <mergeCell ref="K208:N208"/>
    <mergeCell ref="K209:N209"/>
    <mergeCell ref="A213:E213"/>
    <mergeCell ref="B201:C201"/>
    <mergeCell ref="B202:C202"/>
    <mergeCell ref="B203:C203"/>
    <mergeCell ref="B204:C204"/>
    <mergeCell ref="B205:C205"/>
    <mergeCell ref="A228:O228"/>
    <mergeCell ref="A229:O229"/>
    <mergeCell ref="A230:O230"/>
    <mergeCell ref="A231:O231"/>
    <mergeCell ref="A232:O232"/>
    <mergeCell ref="K215:O215"/>
    <mergeCell ref="K217:O217"/>
    <mergeCell ref="K222:O222"/>
    <mergeCell ref="A227:M227"/>
    <mergeCell ref="N227:O227"/>
    <mergeCell ref="B254:C254"/>
    <mergeCell ref="B255:C255"/>
    <mergeCell ref="A233:O233"/>
    <mergeCell ref="A234:O234"/>
    <mergeCell ref="H240:J240"/>
    <mergeCell ref="I241:J241"/>
    <mergeCell ref="A249:A250"/>
    <mergeCell ref="B249:C250"/>
    <mergeCell ref="D249:D250"/>
    <mergeCell ref="E249:E250"/>
    <mergeCell ref="F249:F250"/>
    <mergeCell ref="G249:G250"/>
    <mergeCell ref="H249:H250"/>
    <mergeCell ref="I249:I250"/>
    <mergeCell ref="J249:J250"/>
    <mergeCell ref="K249:L249"/>
    <mergeCell ref="M249:N249"/>
    <mergeCell ref="O249:O250"/>
    <mergeCell ref="K267:O267"/>
    <mergeCell ref="K269:O269"/>
    <mergeCell ref="I104:J104"/>
    <mergeCell ref="A112:A113"/>
    <mergeCell ref="B112:C113"/>
    <mergeCell ref="D112:D113"/>
    <mergeCell ref="E112:E113"/>
    <mergeCell ref="F112:F113"/>
    <mergeCell ref="G112:G113"/>
    <mergeCell ref="H112:H113"/>
    <mergeCell ref="I112:I113"/>
    <mergeCell ref="J112:J113"/>
    <mergeCell ref="K112:L112"/>
    <mergeCell ref="M112:N112"/>
    <mergeCell ref="O112:O113"/>
    <mergeCell ref="B114:C114"/>
    <mergeCell ref="A256:F256"/>
    <mergeCell ref="K257:N257"/>
    <mergeCell ref="K258:N258"/>
    <mergeCell ref="K259:N259"/>
    <mergeCell ref="A265:E265"/>
    <mergeCell ref="B251:C251"/>
    <mergeCell ref="B252:C252"/>
    <mergeCell ref="B253:C253"/>
  </mergeCells>
  <pageMargins left="0.23622047244094488" right="0.23622047244094488" top="2.3228346456692912" bottom="0.74803149606299213" header="0.31496062992125984" footer="0.31496062992125984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E373-5B09-4B57-A66D-05A2B031F204}">
  <sheetPr>
    <pageSetUpPr fitToPage="1"/>
  </sheetPr>
  <dimension ref="A1:O129"/>
  <sheetViews>
    <sheetView topLeftCell="A17" workbookViewId="0">
      <selection sqref="A1:O42"/>
    </sheetView>
  </sheetViews>
  <sheetFormatPr defaultRowHeight="15" x14ac:dyDescent="0.25"/>
  <cols>
    <col min="5" max="5" width="15.7109375" customWidth="1"/>
    <col min="9" max="9" width="10.42578125" customWidth="1"/>
    <col min="10" max="10" width="10" customWidth="1"/>
    <col min="12" max="12" width="10.28515625" customWidth="1"/>
    <col min="14" max="14" width="11.42578125" customWidth="1"/>
    <col min="15" max="15" width="11.28515625" customWidth="1"/>
  </cols>
  <sheetData>
    <row r="1" spans="1:15" ht="15.75" x14ac:dyDescent="0.25">
      <c r="A1" s="158" t="s">
        <v>46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15.75" x14ac:dyDescent="0.25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15" ht="15.75" x14ac:dyDescent="0.25">
      <c r="A3" s="225" t="s">
        <v>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</row>
    <row r="4" spans="1:15" ht="15.75" x14ac:dyDescent="0.25">
      <c r="A4" s="225" t="s">
        <v>2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</row>
    <row r="5" spans="1:15" ht="15.75" x14ac:dyDescent="0.25">
      <c r="A5" s="159" t="s">
        <v>98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</row>
    <row r="6" spans="1:15" ht="15.75" x14ac:dyDescent="0.25">
      <c r="A6" s="159" t="s">
        <v>85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</row>
    <row r="7" spans="1:15" ht="15.75" x14ac:dyDescent="0.25">
      <c r="A7" s="55" t="s">
        <v>3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6"/>
    </row>
    <row r="8" spans="1:15" ht="15.75" x14ac:dyDescent="0.25">
      <c r="A8" s="55" t="s">
        <v>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6"/>
    </row>
    <row r="9" spans="1:15" ht="15.75" x14ac:dyDescent="0.25">
      <c r="A9" s="55" t="s">
        <v>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</row>
    <row r="10" spans="1:15" ht="15.75" x14ac:dyDescent="0.25">
      <c r="A10" s="55" t="s">
        <v>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1:15" ht="15.75" x14ac:dyDescent="0.25">
      <c r="A11" s="55" t="s">
        <v>7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</row>
    <row r="12" spans="1:15" ht="15.75" x14ac:dyDescent="0.25">
      <c r="A12" s="55" t="s">
        <v>8</v>
      </c>
      <c r="B12" s="55"/>
      <c r="C12" s="55"/>
      <c r="D12" s="55"/>
      <c r="E12" s="55"/>
      <c r="F12" s="55"/>
      <c r="G12" s="55"/>
      <c r="H12" s="55"/>
      <c r="I12" s="55" t="s">
        <v>47</v>
      </c>
      <c r="J12" s="55"/>
      <c r="K12" s="55"/>
      <c r="L12" s="55"/>
      <c r="M12" s="55"/>
      <c r="N12" s="55"/>
      <c r="O12" s="56"/>
    </row>
    <row r="13" spans="1:15" ht="15.75" x14ac:dyDescent="0.25">
      <c r="A13" s="55" t="s">
        <v>10</v>
      </c>
      <c r="B13" s="55"/>
      <c r="C13" s="55"/>
      <c r="D13" s="55"/>
      <c r="E13" s="55"/>
      <c r="F13" s="55"/>
      <c r="G13" s="55"/>
      <c r="H13" s="55"/>
      <c r="I13" s="159"/>
      <c r="J13" s="159"/>
      <c r="K13" s="55"/>
      <c r="L13" s="55"/>
      <c r="M13" s="55"/>
      <c r="N13" s="55"/>
      <c r="O13" s="56"/>
    </row>
    <row r="14" spans="1:15" ht="15.75" x14ac:dyDescent="0.25">
      <c r="A14" s="58" t="s">
        <v>11</v>
      </c>
      <c r="B14" s="56"/>
      <c r="C14" s="56"/>
      <c r="D14" s="56"/>
      <c r="E14" s="56"/>
      <c r="F14" s="56"/>
      <c r="G14" s="56"/>
      <c r="H14" s="56" t="s">
        <v>12</v>
      </c>
      <c r="I14" s="56"/>
      <c r="J14" s="56"/>
      <c r="K14" s="56"/>
      <c r="L14" s="56"/>
      <c r="M14" s="56"/>
      <c r="N14" s="56"/>
      <c r="O14" s="56"/>
    </row>
    <row r="15" spans="1:15" ht="15.75" x14ac:dyDescent="0.25">
      <c r="A15" s="58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  <row r="16" spans="1:15" ht="15.75" x14ac:dyDescent="0.25">
      <c r="A16" s="59" t="s">
        <v>13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</row>
    <row r="17" spans="1:15" ht="15.75" x14ac:dyDescent="0.25">
      <c r="A17" s="58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</row>
    <row r="18" spans="1:15" ht="15.75" x14ac:dyDescent="0.25">
      <c r="A18" s="58"/>
      <c r="B18" s="59" t="s">
        <v>48</v>
      </c>
      <c r="C18" s="59"/>
      <c r="D18" s="59"/>
      <c r="E18" s="59"/>
      <c r="F18" s="59"/>
      <c r="G18" s="56"/>
      <c r="H18" s="56"/>
      <c r="I18" s="56"/>
      <c r="J18" s="56"/>
      <c r="K18" s="56"/>
      <c r="L18" s="56"/>
      <c r="M18" s="56"/>
      <c r="N18" s="56"/>
      <c r="O18" s="56"/>
    </row>
    <row r="19" spans="1:15" ht="15.75" x14ac:dyDescent="0.25">
      <c r="A19" s="58"/>
      <c r="B19" s="59" t="s">
        <v>99</v>
      </c>
      <c r="C19" s="59"/>
      <c r="D19" s="59"/>
      <c r="E19" s="60"/>
      <c r="F19" s="60"/>
      <c r="G19" s="56"/>
      <c r="H19" s="56"/>
      <c r="I19" s="56"/>
      <c r="J19" s="56"/>
      <c r="K19" s="56"/>
      <c r="L19" s="56"/>
      <c r="M19" s="56"/>
      <c r="N19" s="56"/>
      <c r="O19" s="56"/>
    </row>
    <row r="20" spans="1:15" ht="16.5" thickBot="1" x14ac:dyDescent="0.3">
      <c r="A20" s="58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</row>
    <row r="21" spans="1:15" ht="15.75" x14ac:dyDescent="0.25">
      <c r="A21" s="160" t="s">
        <v>49</v>
      </c>
      <c r="B21" s="162" t="s">
        <v>16</v>
      </c>
      <c r="C21" s="173"/>
      <c r="D21" s="164" t="s">
        <v>17</v>
      </c>
      <c r="E21" s="164" t="s">
        <v>18</v>
      </c>
      <c r="F21" s="149" t="s">
        <v>19</v>
      </c>
      <c r="G21" s="167" t="s">
        <v>20</v>
      </c>
      <c r="H21" s="149" t="s">
        <v>21</v>
      </c>
      <c r="I21" s="149" t="s">
        <v>22</v>
      </c>
      <c r="J21" s="149" t="s">
        <v>23</v>
      </c>
      <c r="K21" s="151" t="s">
        <v>24</v>
      </c>
      <c r="L21" s="152"/>
      <c r="M21" s="151" t="s">
        <v>25</v>
      </c>
      <c r="N21" s="152"/>
      <c r="O21" s="153" t="s">
        <v>26</v>
      </c>
    </row>
    <row r="22" spans="1:15" ht="16.5" thickBot="1" x14ac:dyDescent="0.3">
      <c r="A22" s="161"/>
      <c r="B22" s="163"/>
      <c r="C22" s="241"/>
      <c r="D22" s="166"/>
      <c r="E22" s="166"/>
      <c r="F22" s="150"/>
      <c r="G22" s="168"/>
      <c r="H22" s="150"/>
      <c r="I22" s="150"/>
      <c r="J22" s="150"/>
      <c r="K22" s="109" t="s">
        <v>27</v>
      </c>
      <c r="L22" s="109" t="s">
        <v>28</v>
      </c>
      <c r="M22" s="109" t="s">
        <v>27</v>
      </c>
      <c r="N22" s="109" t="s">
        <v>28</v>
      </c>
      <c r="O22" s="154"/>
    </row>
    <row r="23" spans="1:15" ht="15.75" x14ac:dyDescent="0.25">
      <c r="A23" s="110">
        <v>1</v>
      </c>
      <c r="B23" s="240" t="s">
        <v>50</v>
      </c>
      <c r="C23" s="240"/>
      <c r="D23" s="111">
        <v>996713</v>
      </c>
      <c r="E23" s="112" t="s">
        <v>51</v>
      </c>
      <c r="F23" s="113">
        <v>630</v>
      </c>
      <c r="G23" s="113" t="s">
        <v>31</v>
      </c>
      <c r="H23" s="113">
        <v>70</v>
      </c>
      <c r="I23" s="114">
        <f>F23*H23</f>
        <v>44100</v>
      </c>
      <c r="J23" s="114">
        <f>I23</f>
        <v>44100</v>
      </c>
      <c r="K23" s="115">
        <v>0.09</v>
      </c>
      <c r="L23" s="116">
        <f>I23*9%</f>
        <v>3969</v>
      </c>
      <c r="M23" s="115">
        <v>0.09</v>
      </c>
      <c r="N23" s="116">
        <f>I23*9%</f>
        <v>3969</v>
      </c>
      <c r="O23" s="117">
        <f>+N23+L23+J23</f>
        <v>52038</v>
      </c>
    </row>
    <row r="24" spans="1:15" ht="15.75" x14ac:dyDescent="0.25">
      <c r="A24" s="110">
        <v>1</v>
      </c>
      <c r="B24" s="240" t="s">
        <v>50</v>
      </c>
      <c r="C24" s="240"/>
      <c r="D24" s="111">
        <v>996713</v>
      </c>
      <c r="E24" s="112" t="s">
        <v>52</v>
      </c>
      <c r="F24" s="113">
        <v>38</v>
      </c>
      <c r="G24" s="113" t="s">
        <v>31</v>
      </c>
      <c r="H24" s="113">
        <v>100</v>
      </c>
      <c r="I24" s="114">
        <f>F24*H24</f>
        <v>3800</v>
      </c>
      <c r="J24" s="114">
        <f>I24</f>
        <v>3800</v>
      </c>
      <c r="K24" s="115">
        <v>0.09</v>
      </c>
      <c r="L24" s="116">
        <f>I24*9%</f>
        <v>342</v>
      </c>
      <c r="M24" s="115">
        <v>0.09</v>
      </c>
      <c r="N24" s="116">
        <f>I24*9%</f>
        <v>342</v>
      </c>
      <c r="O24" s="117">
        <f>+N24+L24+J24</f>
        <v>4484</v>
      </c>
    </row>
    <row r="25" spans="1:15" ht="15.75" x14ac:dyDescent="0.25">
      <c r="A25" s="92"/>
      <c r="B25" s="180"/>
      <c r="C25" s="180"/>
      <c r="D25" s="84"/>
      <c r="E25" s="93"/>
      <c r="F25" s="83"/>
      <c r="G25" s="87"/>
      <c r="H25" s="87"/>
      <c r="I25" s="88"/>
      <c r="J25" s="88"/>
      <c r="K25" s="89"/>
      <c r="L25" s="90"/>
      <c r="M25" s="89"/>
      <c r="N25" s="90"/>
      <c r="O25" s="94"/>
    </row>
    <row r="26" spans="1:15" ht="16.5" thickBot="1" x14ac:dyDescent="0.3">
      <c r="A26" s="226"/>
      <c r="B26" s="227"/>
      <c r="C26" s="227"/>
      <c r="D26" s="227"/>
      <c r="E26" s="227"/>
      <c r="F26" s="228"/>
      <c r="G26" s="95"/>
      <c r="H26" s="95"/>
      <c r="I26" s="96"/>
      <c r="J26" s="96">
        <f>SUM(J23:J25)</f>
        <v>47900</v>
      </c>
      <c r="K26" s="97"/>
      <c r="L26" s="96">
        <f>SUM(L23:L25)</f>
        <v>4311</v>
      </c>
      <c r="M26" s="97"/>
      <c r="N26" s="96">
        <f>SUM(N23:N25)</f>
        <v>4311</v>
      </c>
      <c r="O26" s="98"/>
    </row>
    <row r="27" spans="1:15" ht="15.75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140" t="s">
        <v>35</v>
      </c>
      <c r="L27" s="141"/>
      <c r="M27" s="141"/>
      <c r="N27" s="142"/>
      <c r="O27" s="99">
        <f>J26</f>
        <v>47900</v>
      </c>
    </row>
    <row r="28" spans="1:15" ht="15.75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143" t="s">
        <v>37</v>
      </c>
      <c r="L28" s="144"/>
      <c r="M28" s="144"/>
      <c r="N28" s="145"/>
      <c r="O28" s="100">
        <f>N26+L26</f>
        <v>8622</v>
      </c>
    </row>
    <row r="29" spans="1:15" ht="16.5" thickBot="1" x14ac:dyDescent="0.3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146" t="s">
        <v>38</v>
      </c>
      <c r="L29" s="147"/>
      <c r="M29" s="147"/>
      <c r="N29" s="148"/>
      <c r="O29" s="74">
        <f>O27+O28</f>
        <v>56522</v>
      </c>
    </row>
    <row r="30" spans="1:15" ht="16.5" thickBot="1" x14ac:dyDescent="0.3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6"/>
      <c r="L30" s="56"/>
      <c r="M30" s="56"/>
      <c r="N30" s="56"/>
      <c r="O30" s="75"/>
    </row>
    <row r="31" spans="1:15" ht="16.5" thickBot="1" x14ac:dyDescent="0.3">
      <c r="A31" s="101" t="s">
        <v>100</v>
      </c>
      <c r="B31" s="103"/>
      <c r="C31" s="103"/>
      <c r="D31" s="104"/>
      <c r="E31" s="57"/>
      <c r="F31" s="57"/>
      <c r="G31" s="57"/>
      <c r="H31" s="57"/>
      <c r="I31" s="57"/>
      <c r="J31" s="57"/>
      <c r="K31" s="56"/>
      <c r="L31" s="56"/>
      <c r="M31" s="56"/>
      <c r="N31" s="56"/>
      <c r="O31" s="75"/>
    </row>
    <row r="32" spans="1:15" ht="15.75" x14ac:dyDescent="0.2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6"/>
      <c r="L32" s="56"/>
      <c r="M32" s="56"/>
      <c r="N32" s="56"/>
      <c r="O32" s="75"/>
    </row>
    <row r="33" spans="1:15" ht="15.75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</row>
    <row r="34" spans="1:15" ht="15.75" x14ac:dyDescent="0.25">
      <c r="A34" s="108"/>
      <c r="B34" s="108"/>
      <c r="C34" s="108"/>
      <c r="D34" s="108"/>
      <c r="E34" s="108"/>
      <c r="F34" s="108"/>
      <c r="G34" s="108"/>
      <c r="H34" s="108"/>
      <c r="I34" s="56"/>
      <c r="J34" s="108"/>
      <c r="K34" s="239"/>
      <c r="L34" s="239"/>
      <c r="M34" s="239"/>
      <c r="N34" s="239"/>
      <c r="O34" s="239"/>
    </row>
    <row r="35" spans="1:15" ht="15.75" x14ac:dyDescent="0.25">
      <c r="A35" s="225" t="s">
        <v>39</v>
      </c>
      <c r="B35" s="225"/>
      <c r="C35" s="225"/>
      <c r="D35" s="225"/>
      <c r="E35" s="225"/>
      <c r="F35" s="56"/>
      <c r="G35" s="56"/>
      <c r="H35" s="56"/>
      <c r="I35" s="56"/>
      <c r="J35" s="56"/>
      <c r="K35" s="56"/>
      <c r="L35" s="56"/>
      <c r="M35" s="56"/>
      <c r="N35" s="56"/>
      <c r="O35" s="56"/>
    </row>
    <row r="36" spans="1:15" ht="15.75" x14ac:dyDescent="0.25">
      <c r="A36" s="105"/>
      <c r="B36" s="106" t="s">
        <v>40</v>
      </c>
      <c r="C36" s="61"/>
      <c r="D36" s="61"/>
      <c r="E36" s="61"/>
      <c r="F36" s="61"/>
      <c r="G36" s="61"/>
      <c r="H36" s="61"/>
      <c r="I36" s="61"/>
      <c r="J36" s="61"/>
      <c r="K36" s="61"/>
      <c r="L36" s="56"/>
      <c r="M36" s="56"/>
      <c r="N36" s="56"/>
      <c r="O36" s="56"/>
    </row>
    <row r="37" spans="1:15" ht="15.75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171" t="s">
        <v>0</v>
      </c>
      <c r="L37" s="171"/>
      <c r="M37" s="171"/>
      <c r="N37" s="171"/>
      <c r="O37" s="171"/>
    </row>
    <row r="38" spans="1:15" ht="15.75" x14ac:dyDescent="0.25">
      <c r="A38" s="56"/>
      <c r="B38" s="62" t="s">
        <v>41</v>
      </c>
      <c r="C38" s="62"/>
      <c r="D38" s="62" t="s">
        <v>42</v>
      </c>
      <c r="E38" s="56"/>
      <c r="F38" s="58"/>
      <c r="G38" s="58"/>
      <c r="H38" s="58"/>
      <c r="I38" s="58"/>
      <c r="J38" s="58"/>
      <c r="K38" s="56"/>
      <c r="L38" s="56"/>
      <c r="M38" s="56"/>
      <c r="N38" s="56"/>
      <c r="O38" s="56"/>
    </row>
    <row r="39" spans="1:15" ht="15.75" x14ac:dyDescent="0.25">
      <c r="A39" s="56"/>
      <c r="B39" s="62" t="s">
        <v>43</v>
      </c>
      <c r="C39" s="56"/>
      <c r="D39" s="78" t="s">
        <v>90</v>
      </c>
      <c r="E39" s="56"/>
      <c r="F39" s="56"/>
      <c r="G39" s="56"/>
      <c r="H39" s="56"/>
      <c r="I39" s="56"/>
      <c r="J39" s="56"/>
      <c r="K39" s="225" t="s">
        <v>44</v>
      </c>
      <c r="L39" s="225"/>
      <c r="M39" s="225"/>
      <c r="N39" s="225"/>
      <c r="O39" s="225"/>
    </row>
    <row r="40" spans="1:15" ht="15.75" x14ac:dyDescent="0.25">
      <c r="A40" s="56"/>
      <c r="B40" s="62" t="s">
        <v>45</v>
      </c>
      <c r="C40" s="56"/>
      <c r="D40" s="78" t="s">
        <v>90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</row>
    <row r="41" spans="1:15" ht="15.75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</row>
    <row r="42" spans="1:15" ht="15.75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6" spans="1:15" x14ac:dyDescent="0.25">
      <c r="A46" s="213" t="s">
        <v>46</v>
      </c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</row>
    <row r="47" spans="1:15" x14ac:dyDescent="0.25">
      <c r="A47" s="214" t="s">
        <v>0</v>
      </c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</row>
    <row r="48" spans="1:15" x14ac:dyDescent="0.25">
      <c r="A48" s="170" t="s">
        <v>1</v>
      </c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</row>
    <row r="49" spans="1:15" x14ac:dyDescent="0.25">
      <c r="A49" s="170" t="s">
        <v>2</v>
      </c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</row>
    <row r="50" spans="1:15" x14ac:dyDescent="0.25">
      <c r="A50" s="194" t="s">
        <v>74</v>
      </c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</row>
    <row r="51" spans="1:15" x14ac:dyDescent="0.25">
      <c r="A51" s="195" t="s">
        <v>72</v>
      </c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</row>
    <row r="52" spans="1:15" ht="15.75" x14ac:dyDescent="0.25">
      <c r="A52" s="3" t="s">
        <v>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</row>
    <row r="53" spans="1:15" ht="15.75" x14ac:dyDescent="0.25">
      <c r="A53" s="3" t="s">
        <v>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</row>
    <row r="54" spans="1:15" ht="15.75" x14ac:dyDescent="0.25">
      <c r="A54" s="3" t="s">
        <v>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</row>
    <row r="55" spans="1:15" ht="15.75" x14ac:dyDescent="0.25">
      <c r="A55" s="3" t="s">
        <v>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</row>
    <row r="56" spans="1:15" ht="15.75" x14ac:dyDescent="0.25">
      <c r="A56" s="3" t="s">
        <v>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</row>
    <row r="57" spans="1:15" ht="15.75" x14ac:dyDescent="0.25">
      <c r="A57" s="3" t="s">
        <v>8</v>
      </c>
      <c r="B57" s="3"/>
      <c r="C57" s="3"/>
      <c r="D57" s="3"/>
      <c r="E57" s="3"/>
      <c r="F57" s="3"/>
      <c r="G57" s="3"/>
      <c r="H57" s="3"/>
      <c r="I57" s="3" t="s">
        <v>47</v>
      </c>
      <c r="J57" s="3"/>
      <c r="K57" s="3"/>
      <c r="L57" s="3"/>
      <c r="M57" s="3"/>
      <c r="N57" s="3"/>
      <c r="O57" s="4"/>
    </row>
    <row r="58" spans="1:15" ht="15.75" x14ac:dyDescent="0.25">
      <c r="A58" s="3" t="s">
        <v>10</v>
      </c>
      <c r="B58" s="3"/>
      <c r="C58" s="3"/>
      <c r="D58" s="3"/>
      <c r="E58" s="3"/>
      <c r="F58" s="3"/>
      <c r="G58" s="3"/>
      <c r="H58" s="3"/>
      <c r="I58" s="231"/>
      <c r="J58" s="231"/>
      <c r="K58" s="3"/>
      <c r="L58" s="3"/>
      <c r="M58" s="3"/>
      <c r="N58" s="3"/>
      <c r="O58" s="4"/>
    </row>
    <row r="59" spans="1:15" x14ac:dyDescent="0.25">
      <c r="A59" s="5" t="s">
        <v>11</v>
      </c>
      <c r="H59" t="s">
        <v>12</v>
      </c>
    </row>
    <row r="60" spans="1:15" x14ac:dyDescent="0.25">
      <c r="A60" s="6"/>
    </row>
    <row r="61" spans="1:15" ht="15.75" x14ac:dyDescent="0.25">
      <c r="A61" s="7" t="s">
        <v>13</v>
      </c>
    </row>
    <row r="62" spans="1:15" x14ac:dyDescent="0.25">
      <c r="A62" s="6"/>
    </row>
    <row r="63" spans="1:15" ht="15.75" x14ac:dyDescent="0.25">
      <c r="A63" s="6"/>
      <c r="B63" s="7" t="s">
        <v>48</v>
      </c>
      <c r="C63" s="7"/>
      <c r="D63" s="7"/>
      <c r="E63" s="7"/>
      <c r="F63" s="7"/>
      <c r="G63" s="4"/>
      <c r="H63" s="4"/>
      <c r="I63" s="4"/>
      <c r="J63" s="4"/>
      <c r="K63" s="4"/>
    </row>
    <row r="64" spans="1:15" ht="15.75" x14ac:dyDescent="0.25">
      <c r="A64" s="6"/>
      <c r="B64" s="7" t="s">
        <v>75</v>
      </c>
      <c r="C64" s="7"/>
      <c r="D64" s="7"/>
      <c r="E64" s="8"/>
      <c r="F64" s="8"/>
      <c r="G64" s="4"/>
      <c r="H64" s="4"/>
      <c r="I64" s="4"/>
      <c r="J64" s="4"/>
      <c r="K64" s="4"/>
    </row>
    <row r="65" spans="1:15" ht="15.75" thickBot="1" x14ac:dyDescent="0.3">
      <c r="A65" s="6"/>
    </row>
    <row r="66" spans="1:15" x14ac:dyDescent="0.25">
      <c r="A66" s="197" t="s">
        <v>49</v>
      </c>
      <c r="B66" s="199" t="s">
        <v>16</v>
      </c>
      <c r="C66" s="200"/>
      <c r="D66" s="203" t="s">
        <v>17</v>
      </c>
      <c r="E66" s="203" t="s">
        <v>18</v>
      </c>
      <c r="F66" s="205" t="s">
        <v>19</v>
      </c>
      <c r="G66" s="207" t="s">
        <v>20</v>
      </c>
      <c r="H66" s="205" t="s">
        <v>21</v>
      </c>
      <c r="I66" s="205" t="s">
        <v>22</v>
      </c>
      <c r="J66" s="205" t="s">
        <v>23</v>
      </c>
      <c r="K66" s="209" t="s">
        <v>24</v>
      </c>
      <c r="L66" s="210"/>
      <c r="M66" s="209" t="s">
        <v>25</v>
      </c>
      <c r="N66" s="210"/>
      <c r="O66" s="211" t="s">
        <v>26</v>
      </c>
    </row>
    <row r="67" spans="1:15" ht="15.75" thickBot="1" x14ac:dyDescent="0.3">
      <c r="A67" s="232"/>
      <c r="B67" s="233"/>
      <c r="C67" s="234"/>
      <c r="D67" s="235"/>
      <c r="E67" s="235"/>
      <c r="F67" s="236"/>
      <c r="G67" s="237"/>
      <c r="H67" s="236"/>
      <c r="I67" s="236"/>
      <c r="J67" s="236"/>
      <c r="K67" s="39" t="s">
        <v>27</v>
      </c>
      <c r="L67" s="39" t="s">
        <v>28</v>
      </c>
      <c r="M67" s="39" t="s">
        <v>27</v>
      </c>
      <c r="N67" s="39" t="s">
        <v>28</v>
      </c>
      <c r="O67" s="238"/>
    </row>
    <row r="68" spans="1:15" ht="15.75" x14ac:dyDescent="0.25">
      <c r="A68" s="40">
        <v>1</v>
      </c>
      <c r="B68" s="230" t="s">
        <v>50</v>
      </c>
      <c r="C68" s="230"/>
      <c r="D68" s="41">
        <v>996713</v>
      </c>
      <c r="E68" s="42" t="s">
        <v>52</v>
      </c>
      <c r="F68" s="43">
        <v>11.5</v>
      </c>
      <c r="G68" s="43" t="s">
        <v>31</v>
      </c>
      <c r="H68" s="43">
        <v>100</v>
      </c>
      <c r="I68" s="44">
        <f>F68*H68</f>
        <v>1150</v>
      </c>
      <c r="J68" s="44">
        <f>I68</f>
        <v>1150</v>
      </c>
      <c r="K68" s="45">
        <v>0.09</v>
      </c>
      <c r="L68" s="46">
        <f>I68*9%</f>
        <v>103.5</v>
      </c>
      <c r="M68" s="45">
        <v>0.09</v>
      </c>
      <c r="N68" s="46">
        <f>I68*9%</f>
        <v>103.5</v>
      </c>
      <c r="O68" s="47">
        <f>+N68+L68+J68</f>
        <v>1357</v>
      </c>
    </row>
    <row r="69" spans="1:15" x14ac:dyDescent="0.25">
      <c r="A69" s="19"/>
      <c r="B69" s="193"/>
      <c r="C69" s="193"/>
      <c r="D69" s="11"/>
      <c r="E69" s="20"/>
      <c r="F69" s="10"/>
      <c r="G69" s="14">
        <v>0</v>
      </c>
      <c r="H69" s="14">
        <v>0</v>
      </c>
      <c r="I69" s="15">
        <f>G69*H69</f>
        <v>0</v>
      </c>
      <c r="J69" s="15">
        <f>I69</f>
        <v>0</v>
      </c>
      <c r="K69" s="16">
        <v>0.09</v>
      </c>
      <c r="L69" s="17">
        <f>I69*9%</f>
        <v>0</v>
      </c>
      <c r="M69" s="16">
        <v>0.09</v>
      </c>
      <c r="N69" s="17">
        <f>I69*9%</f>
        <v>0</v>
      </c>
      <c r="O69" s="21">
        <v>0</v>
      </c>
    </row>
    <row r="70" spans="1:15" x14ac:dyDescent="0.25">
      <c r="A70" s="19"/>
      <c r="B70" s="193"/>
      <c r="C70" s="193"/>
      <c r="D70" s="11"/>
      <c r="E70" s="20"/>
      <c r="F70" s="10"/>
      <c r="G70" s="14"/>
      <c r="H70" s="14"/>
      <c r="I70" s="15"/>
      <c r="J70" s="15"/>
      <c r="K70" s="16"/>
      <c r="L70" s="17"/>
      <c r="M70" s="16"/>
      <c r="N70" s="17"/>
      <c r="O70" s="21"/>
    </row>
    <row r="71" spans="1:15" ht="15.75" thickBot="1" x14ac:dyDescent="0.3">
      <c r="A71" s="181"/>
      <c r="B71" s="182"/>
      <c r="C71" s="182"/>
      <c r="D71" s="182"/>
      <c r="E71" s="182"/>
      <c r="F71" s="183"/>
      <c r="G71" s="22"/>
      <c r="H71" s="22"/>
      <c r="I71" s="23"/>
      <c r="J71" s="23">
        <f>SUM(J68:J70)</f>
        <v>1150</v>
      </c>
      <c r="K71" s="24"/>
      <c r="L71" s="23">
        <f>SUM(L68:L70)</f>
        <v>103.5</v>
      </c>
      <c r="M71" s="24"/>
      <c r="N71" s="23">
        <f>SUM(N68:N70)</f>
        <v>103.5</v>
      </c>
      <c r="O71" s="25"/>
    </row>
    <row r="72" spans="1:1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184" t="s">
        <v>35</v>
      </c>
      <c r="L72" s="185"/>
      <c r="M72" s="185"/>
      <c r="N72" s="186"/>
      <c r="O72" s="27">
        <f>J71</f>
        <v>1150</v>
      </c>
    </row>
    <row r="73" spans="1:15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187" t="s">
        <v>37</v>
      </c>
      <c r="L73" s="188"/>
      <c r="M73" s="188"/>
      <c r="N73" s="189"/>
      <c r="O73" s="28">
        <f>N71+L71</f>
        <v>207</v>
      </c>
    </row>
    <row r="74" spans="1:15" ht="15.75" thickBot="1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190" t="s">
        <v>38</v>
      </c>
      <c r="L74" s="191"/>
      <c r="M74" s="191"/>
      <c r="N74" s="192"/>
      <c r="O74" s="29">
        <f>O72+O73</f>
        <v>1357</v>
      </c>
    </row>
    <row r="75" spans="1:15" ht="15.75" thickBo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1"/>
      <c r="L75" s="31"/>
      <c r="M75" s="31"/>
      <c r="N75" s="31"/>
      <c r="O75" s="32"/>
    </row>
    <row r="76" spans="1:15" ht="16.5" thickBot="1" x14ac:dyDescent="0.3">
      <c r="A76" s="33" t="s">
        <v>76</v>
      </c>
      <c r="B76" s="34"/>
      <c r="C76" s="34"/>
      <c r="D76" s="35"/>
      <c r="E76" s="30"/>
      <c r="F76" s="30"/>
      <c r="G76" s="30"/>
      <c r="H76" s="30"/>
      <c r="I76" s="30"/>
      <c r="J76" s="30"/>
      <c r="K76" s="31"/>
      <c r="L76" s="31"/>
      <c r="M76" s="31"/>
      <c r="N76" s="31"/>
      <c r="O76" s="32"/>
    </row>
    <row r="77" spans="1:15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1"/>
      <c r="L77" s="31"/>
      <c r="M77" s="31"/>
      <c r="N77" s="31"/>
      <c r="O77" s="32"/>
    </row>
    <row r="79" spans="1:15" x14ac:dyDescent="0.25">
      <c r="A79" s="48"/>
      <c r="B79" s="49"/>
      <c r="C79" s="49"/>
      <c r="D79" s="49"/>
      <c r="E79" s="49"/>
      <c r="F79" s="49"/>
      <c r="G79" s="49"/>
      <c r="H79" s="49"/>
      <c r="J79" s="49"/>
      <c r="K79" s="229"/>
      <c r="L79" s="229"/>
      <c r="M79" s="229"/>
      <c r="N79" s="229"/>
      <c r="O79" s="229"/>
    </row>
    <row r="80" spans="1:15" x14ac:dyDescent="0.25">
      <c r="A80" s="170" t="s">
        <v>39</v>
      </c>
      <c r="B80" s="170"/>
      <c r="C80" s="170"/>
      <c r="D80" s="170"/>
      <c r="E80" s="170"/>
    </row>
    <row r="81" spans="1:15" x14ac:dyDescent="0.25">
      <c r="A81" s="36"/>
      <c r="B81" s="37" t="s">
        <v>40</v>
      </c>
      <c r="C81" s="1"/>
      <c r="D81" s="1"/>
      <c r="E81" s="1"/>
      <c r="F81" s="1"/>
      <c r="G81" s="1"/>
      <c r="H81" s="1"/>
      <c r="I81" s="1"/>
      <c r="J81" s="1"/>
      <c r="K81" s="1"/>
    </row>
    <row r="82" spans="1:15" x14ac:dyDescent="0.25">
      <c r="K82" s="169" t="s">
        <v>0</v>
      </c>
      <c r="L82" s="169"/>
      <c r="M82" s="169"/>
      <c r="N82" s="169"/>
      <c r="O82" s="169"/>
    </row>
    <row r="83" spans="1:15" x14ac:dyDescent="0.25">
      <c r="B83" s="2" t="s">
        <v>41</v>
      </c>
      <c r="C83" s="2"/>
      <c r="D83" s="2" t="s">
        <v>42</v>
      </c>
      <c r="F83" s="5"/>
      <c r="G83" s="5"/>
      <c r="H83" s="5"/>
      <c r="I83" s="5"/>
      <c r="J83" s="5"/>
    </row>
    <row r="84" spans="1:15" x14ac:dyDescent="0.25">
      <c r="B84" s="2" t="s">
        <v>43</v>
      </c>
      <c r="D84" s="38" t="s">
        <v>73</v>
      </c>
      <c r="K84" s="170" t="s">
        <v>44</v>
      </c>
      <c r="L84" s="170"/>
      <c r="M84" s="170"/>
      <c r="N84" s="170"/>
      <c r="O84" s="170"/>
    </row>
    <row r="85" spans="1:15" x14ac:dyDescent="0.25">
      <c r="B85" s="2" t="s">
        <v>45</v>
      </c>
      <c r="D85" s="38" t="s">
        <v>73</v>
      </c>
    </row>
    <row r="90" spans="1:15" x14ac:dyDescent="0.25">
      <c r="A90" s="213" t="s">
        <v>46</v>
      </c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</row>
    <row r="91" spans="1:15" x14ac:dyDescent="0.25">
      <c r="A91" s="214" t="s">
        <v>0</v>
      </c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</row>
    <row r="92" spans="1:15" x14ac:dyDescent="0.25">
      <c r="A92" s="170" t="s">
        <v>1</v>
      </c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</row>
    <row r="93" spans="1:15" x14ac:dyDescent="0.25">
      <c r="A93" s="170" t="s">
        <v>2</v>
      </c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</row>
    <row r="94" spans="1:15" x14ac:dyDescent="0.25">
      <c r="A94" s="194" t="s">
        <v>70</v>
      </c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</row>
    <row r="95" spans="1:15" x14ac:dyDescent="0.25">
      <c r="A95" s="195" t="s">
        <v>67</v>
      </c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</row>
    <row r="96" spans="1:15" ht="15.75" x14ac:dyDescent="0.25">
      <c r="A96" s="3" t="s">
        <v>3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</row>
    <row r="97" spans="1:15" ht="15.75" x14ac:dyDescent="0.25">
      <c r="A97" s="3" t="s">
        <v>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/>
    </row>
    <row r="98" spans="1:15" ht="15.75" x14ac:dyDescent="0.25">
      <c r="A98" s="3" t="s">
        <v>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</row>
    <row r="99" spans="1:15" ht="15.75" x14ac:dyDescent="0.25">
      <c r="A99" s="3" t="s">
        <v>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/>
    </row>
    <row r="100" spans="1:15" ht="15.75" x14ac:dyDescent="0.25">
      <c r="A100" s="3" t="s">
        <v>7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</row>
    <row r="101" spans="1:15" ht="15.75" x14ac:dyDescent="0.25">
      <c r="A101" s="3" t="s">
        <v>8</v>
      </c>
      <c r="B101" s="3"/>
      <c r="C101" s="3"/>
      <c r="D101" s="3"/>
      <c r="E101" s="3"/>
      <c r="F101" s="3"/>
      <c r="G101" s="3"/>
      <c r="H101" s="3"/>
      <c r="I101" s="3" t="s">
        <v>47</v>
      </c>
      <c r="J101" s="3"/>
      <c r="K101" s="3"/>
      <c r="L101" s="3"/>
      <c r="M101" s="3"/>
      <c r="N101" s="3"/>
      <c r="O101" s="4"/>
    </row>
    <row r="102" spans="1:15" ht="15.75" x14ac:dyDescent="0.25">
      <c r="A102" s="3" t="s">
        <v>10</v>
      </c>
      <c r="B102" s="3"/>
      <c r="C102" s="3"/>
      <c r="D102" s="3"/>
      <c r="E102" s="3"/>
      <c r="F102" s="3"/>
      <c r="G102" s="3"/>
      <c r="H102" s="3"/>
      <c r="I102" s="231"/>
      <c r="J102" s="231"/>
      <c r="K102" s="3"/>
      <c r="L102" s="3"/>
      <c r="M102" s="3"/>
      <c r="N102" s="3"/>
      <c r="O102" s="4"/>
    </row>
    <row r="103" spans="1:15" x14ac:dyDescent="0.25">
      <c r="A103" s="5" t="s">
        <v>11</v>
      </c>
      <c r="H103" t="s">
        <v>12</v>
      </c>
    </row>
    <row r="104" spans="1:15" x14ac:dyDescent="0.25">
      <c r="A104" s="6"/>
    </row>
    <row r="105" spans="1:15" ht="15.75" x14ac:dyDescent="0.25">
      <c r="A105" s="7" t="s">
        <v>13</v>
      </c>
    </row>
    <row r="106" spans="1:15" x14ac:dyDescent="0.25">
      <c r="A106" s="6"/>
    </row>
    <row r="107" spans="1:15" ht="15.75" x14ac:dyDescent="0.25">
      <c r="A107" s="6"/>
      <c r="B107" s="7" t="s">
        <v>48</v>
      </c>
      <c r="C107" s="7"/>
      <c r="D107" s="7"/>
      <c r="E107" s="7"/>
      <c r="F107" s="7"/>
      <c r="G107" s="4"/>
      <c r="H107" s="4"/>
      <c r="I107" s="4"/>
      <c r="J107" s="4"/>
      <c r="K107" s="4"/>
    </row>
    <row r="108" spans="1:15" ht="15.75" x14ac:dyDescent="0.25">
      <c r="A108" s="6"/>
      <c r="B108" s="7" t="s">
        <v>69</v>
      </c>
      <c r="C108" s="7"/>
      <c r="D108" s="7"/>
      <c r="E108" s="8"/>
      <c r="F108" s="8"/>
      <c r="G108" s="4"/>
      <c r="H108" s="4"/>
      <c r="I108" s="4"/>
      <c r="J108" s="4"/>
      <c r="K108" s="4"/>
    </row>
    <row r="109" spans="1:15" ht="15.75" thickBot="1" x14ac:dyDescent="0.3">
      <c r="A109" s="6"/>
    </row>
    <row r="110" spans="1:15" x14ac:dyDescent="0.25">
      <c r="A110" s="197" t="s">
        <v>49</v>
      </c>
      <c r="B110" s="199" t="s">
        <v>16</v>
      </c>
      <c r="C110" s="200"/>
      <c r="D110" s="203" t="s">
        <v>17</v>
      </c>
      <c r="E110" s="203" t="s">
        <v>18</v>
      </c>
      <c r="F110" s="205" t="s">
        <v>19</v>
      </c>
      <c r="G110" s="207" t="s">
        <v>20</v>
      </c>
      <c r="H110" s="205" t="s">
        <v>21</v>
      </c>
      <c r="I110" s="205" t="s">
        <v>22</v>
      </c>
      <c r="J110" s="205" t="s">
        <v>23</v>
      </c>
      <c r="K110" s="209" t="s">
        <v>24</v>
      </c>
      <c r="L110" s="210"/>
      <c r="M110" s="209" t="s">
        <v>25</v>
      </c>
      <c r="N110" s="210"/>
      <c r="O110" s="211" t="s">
        <v>26</v>
      </c>
    </row>
    <row r="111" spans="1:15" ht="15.75" thickBot="1" x14ac:dyDescent="0.3">
      <c r="A111" s="232"/>
      <c r="B111" s="233"/>
      <c r="C111" s="234"/>
      <c r="D111" s="235"/>
      <c r="E111" s="235"/>
      <c r="F111" s="236"/>
      <c r="G111" s="237"/>
      <c r="H111" s="236"/>
      <c r="I111" s="236"/>
      <c r="J111" s="236"/>
      <c r="K111" s="39" t="s">
        <v>27</v>
      </c>
      <c r="L111" s="39" t="s">
        <v>28</v>
      </c>
      <c r="M111" s="39" t="s">
        <v>27</v>
      </c>
      <c r="N111" s="39" t="s">
        <v>28</v>
      </c>
      <c r="O111" s="238"/>
    </row>
    <row r="112" spans="1:15" ht="15.75" x14ac:dyDescent="0.25">
      <c r="A112" s="40">
        <v>1</v>
      </c>
      <c r="B112" s="230" t="s">
        <v>50</v>
      </c>
      <c r="C112" s="230"/>
      <c r="D112" s="41">
        <v>996713</v>
      </c>
      <c r="E112" s="42" t="s">
        <v>66</v>
      </c>
      <c r="F112" s="43">
        <v>43</v>
      </c>
      <c r="G112" s="43" t="s">
        <v>31</v>
      </c>
      <c r="H112" s="43">
        <v>40</v>
      </c>
      <c r="I112" s="44">
        <f>F112*H112</f>
        <v>1720</v>
      </c>
      <c r="J112" s="44">
        <f>I112</f>
        <v>1720</v>
      </c>
      <c r="K112" s="45">
        <v>0.09</v>
      </c>
      <c r="L112" s="46">
        <f>I112*9%</f>
        <v>154.79999999999998</v>
      </c>
      <c r="M112" s="45">
        <v>0.09</v>
      </c>
      <c r="N112" s="46">
        <f>I112*9%</f>
        <v>154.79999999999998</v>
      </c>
      <c r="O112" s="47">
        <f>+N112+L112+J112</f>
        <v>2029.6</v>
      </c>
    </row>
    <row r="113" spans="1:15" x14ac:dyDescent="0.25">
      <c r="A113" s="19"/>
      <c r="B113" s="193"/>
      <c r="C113" s="193"/>
      <c r="D113" s="11"/>
      <c r="E113" s="20"/>
      <c r="F113" s="10"/>
      <c r="G113" s="14">
        <v>0</v>
      </c>
      <c r="H113" s="14">
        <v>0</v>
      </c>
      <c r="I113" s="15">
        <f>G113*H113</f>
        <v>0</v>
      </c>
      <c r="J113" s="15">
        <f>I113</f>
        <v>0</v>
      </c>
      <c r="K113" s="16">
        <v>0.09</v>
      </c>
      <c r="L113" s="17">
        <f>I113*9%</f>
        <v>0</v>
      </c>
      <c r="M113" s="16">
        <v>0.09</v>
      </c>
      <c r="N113" s="17">
        <f>I113*9%</f>
        <v>0</v>
      </c>
      <c r="O113" s="21">
        <v>0</v>
      </c>
    </row>
    <row r="114" spans="1:15" x14ac:dyDescent="0.25">
      <c r="A114" s="19"/>
      <c r="B114" s="193"/>
      <c r="C114" s="193"/>
      <c r="D114" s="11"/>
      <c r="E114" s="20"/>
      <c r="F114" s="10"/>
      <c r="G114" s="14"/>
      <c r="H114" s="14"/>
      <c r="I114" s="15"/>
      <c r="J114" s="15"/>
      <c r="K114" s="16"/>
      <c r="L114" s="17"/>
      <c r="M114" s="16"/>
      <c r="N114" s="17"/>
      <c r="O114" s="21"/>
    </row>
    <row r="115" spans="1:15" ht="15.75" thickBot="1" x14ac:dyDescent="0.3">
      <c r="A115" s="181"/>
      <c r="B115" s="182"/>
      <c r="C115" s="182"/>
      <c r="D115" s="182"/>
      <c r="E115" s="182"/>
      <c r="F115" s="183"/>
      <c r="G115" s="22"/>
      <c r="H115" s="22"/>
      <c r="I115" s="23"/>
      <c r="J115" s="23">
        <f>SUM(J112:J114)</f>
        <v>1720</v>
      </c>
      <c r="K115" s="24"/>
      <c r="L115" s="23">
        <f>SUM(L112:L114)</f>
        <v>154.79999999999998</v>
      </c>
      <c r="M115" s="24"/>
      <c r="N115" s="23">
        <f>SUM(N112:N114)</f>
        <v>154.79999999999998</v>
      </c>
      <c r="O115" s="25"/>
    </row>
    <row r="116" spans="1:15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184" t="s">
        <v>35</v>
      </c>
      <c r="L116" s="185"/>
      <c r="M116" s="185"/>
      <c r="N116" s="186"/>
      <c r="O116" s="27">
        <f>J115</f>
        <v>1720</v>
      </c>
    </row>
    <row r="117" spans="1:15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187" t="s">
        <v>37</v>
      </c>
      <c r="L117" s="188"/>
      <c r="M117" s="188"/>
      <c r="N117" s="189"/>
      <c r="O117" s="28">
        <f>N115+L115</f>
        <v>309.59999999999997</v>
      </c>
    </row>
    <row r="118" spans="1:15" ht="15.75" thickBot="1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190" t="s">
        <v>38</v>
      </c>
      <c r="L118" s="191"/>
      <c r="M118" s="191"/>
      <c r="N118" s="192"/>
      <c r="O118" s="29">
        <f>O116+O117</f>
        <v>2029.6</v>
      </c>
    </row>
    <row r="119" spans="1:15" ht="15.75" thickBo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1"/>
      <c r="L119" s="31"/>
      <c r="M119" s="31"/>
      <c r="N119" s="31"/>
      <c r="O119" s="32"/>
    </row>
    <row r="120" spans="1:15" ht="16.5" thickBot="1" x14ac:dyDescent="0.3">
      <c r="A120" s="33" t="s">
        <v>71</v>
      </c>
      <c r="B120" s="34"/>
      <c r="C120" s="34"/>
      <c r="D120" s="35"/>
      <c r="E120" s="30"/>
      <c r="F120" s="30"/>
      <c r="G120" s="30"/>
      <c r="H120" s="30"/>
      <c r="I120" s="30"/>
      <c r="J120" s="30"/>
      <c r="K120" s="31"/>
      <c r="L120" s="31"/>
      <c r="M120" s="31"/>
      <c r="N120" s="31"/>
      <c r="O120" s="32"/>
    </row>
    <row r="121" spans="1:15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1"/>
      <c r="L121" s="31"/>
      <c r="M121" s="31"/>
      <c r="N121" s="31"/>
      <c r="O121" s="32"/>
    </row>
    <row r="123" spans="1:15" x14ac:dyDescent="0.25">
      <c r="A123" s="48"/>
      <c r="B123" s="49"/>
      <c r="C123" s="49"/>
      <c r="D123" s="49"/>
      <c r="E123" s="49"/>
      <c r="F123" s="49"/>
      <c r="G123" s="49"/>
      <c r="H123" s="49"/>
      <c r="J123" s="49"/>
      <c r="K123" s="229"/>
      <c r="L123" s="229"/>
      <c r="M123" s="229"/>
      <c r="N123" s="229"/>
      <c r="O123" s="229"/>
    </row>
    <row r="124" spans="1:15" x14ac:dyDescent="0.25">
      <c r="A124" s="170" t="s">
        <v>39</v>
      </c>
      <c r="B124" s="170"/>
      <c r="C124" s="170"/>
      <c r="D124" s="170"/>
      <c r="E124" s="170"/>
    </row>
    <row r="125" spans="1:15" x14ac:dyDescent="0.25">
      <c r="A125" s="36"/>
      <c r="B125" s="37" t="s">
        <v>40</v>
      </c>
      <c r="C125" s="1"/>
      <c r="D125" s="1"/>
      <c r="E125" s="1"/>
      <c r="F125" s="1"/>
      <c r="G125" s="1"/>
      <c r="H125" s="1"/>
      <c r="I125" s="1"/>
      <c r="J125" s="1"/>
      <c r="K125" s="1"/>
    </row>
    <row r="126" spans="1:15" x14ac:dyDescent="0.25">
      <c r="K126" s="169" t="s">
        <v>0</v>
      </c>
      <c r="L126" s="169"/>
      <c r="M126" s="169"/>
      <c r="N126" s="169"/>
      <c r="O126" s="169"/>
    </row>
    <row r="127" spans="1:15" x14ac:dyDescent="0.25">
      <c r="B127" s="2" t="s">
        <v>41</v>
      </c>
      <c r="C127" s="2"/>
      <c r="D127" s="2" t="s">
        <v>42</v>
      </c>
      <c r="F127" s="5"/>
      <c r="G127" s="5"/>
      <c r="H127" s="5"/>
      <c r="I127" s="5"/>
      <c r="J127" s="5"/>
    </row>
    <row r="128" spans="1:15" x14ac:dyDescent="0.25">
      <c r="B128" s="2" t="s">
        <v>43</v>
      </c>
      <c r="D128" s="38" t="s">
        <v>68</v>
      </c>
      <c r="K128" s="170" t="s">
        <v>44</v>
      </c>
      <c r="L128" s="170"/>
      <c r="M128" s="170"/>
      <c r="N128" s="170"/>
      <c r="O128" s="170"/>
    </row>
    <row r="129" spans="2:4" x14ac:dyDescent="0.25">
      <c r="B129" s="2" t="s">
        <v>45</v>
      </c>
      <c r="D129" s="38" t="s">
        <v>68</v>
      </c>
    </row>
  </sheetData>
  <mergeCells count="90">
    <mergeCell ref="K128:O128"/>
    <mergeCell ref="K117:N117"/>
    <mergeCell ref="K118:N118"/>
    <mergeCell ref="K123:O123"/>
    <mergeCell ref="A124:E124"/>
    <mergeCell ref="K126:O126"/>
    <mergeCell ref="B112:C112"/>
    <mergeCell ref="B113:C113"/>
    <mergeCell ref="B114:C114"/>
    <mergeCell ref="A115:F115"/>
    <mergeCell ref="K116:N116"/>
    <mergeCell ref="A95:O95"/>
    <mergeCell ref="I102:J102"/>
    <mergeCell ref="A110:A111"/>
    <mergeCell ref="B110:C111"/>
    <mergeCell ref="D110:D111"/>
    <mergeCell ref="E110:E111"/>
    <mergeCell ref="F110:F111"/>
    <mergeCell ref="G110:G111"/>
    <mergeCell ref="H110:H111"/>
    <mergeCell ref="I110:I111"/>
    <mergeCell ref="J110:J111"/>
    <mergeCell ref="K110:L110"/>
    <mergeCell ref="M110:N110"/>
    <mergeCell ref="O110:O111"/>
    <mergeCell ref="A90:O90"/>
    <mergeCell ref="A91:O91"/>
    <mergeCell ref="A92:O92"/>
    <mergeCell ref="A93:O93"/>
    <mergeCell ref="A94:O94"/>
    <mergeCell ref="A6:O6"/>
    <mergeCell ref="A1:O1"/>
    <mergeCell ref="A2:O2"/>
    <mergeCell ref="A3:O3"/>
    <mergeCell ref="A4:O4"/>
    <mergeCell ref="A5:O5"/>
    <mergeCell ref="B25:C25"/>
    <mergeCell ref="I13:J13"/>
    <mergeCell ref="A21:A22"/>
    <mergeCell ref="B21:C22"/>
    <mergeCell ref="D21:D22"/>
    <mergeCell ref="E21:E22"/>
    <mergeCell ref="F21:F22"/>
    <mergeCell ref="G21:G22"/>
    <mergeCell ref="H21:H22"/>
    <mergeCell ref="I21:I22"/>
    <mergeCell ref="J21:J22"/>
    <mergeCell ref="K21:L21"/>
    <mergeCell ref="M21:N21"/>
    <mergeCell ref="O21:O22"/>
    <mergeCell ref="B23:C23"/>
    <mergeCell ref="B24:C24"/>
    <mergeCell ref="A49:O49"/>
    <mergeCell ref="A26:F26"/>
    <mergeCell ref="K27:N27"/>
    <mergeCell ref="K28:N28"/>
    <mergeCell ref="K29:N29"/>
    <mergeCell ref="K34:O34"/>
    <mergeCell ref="A35:E35"/>
    <mergeCell ref="K37:O37"/>
    <mergeCell ref="K39:O39"/>
    <mergeCell ref="A46:O46"/>
    <mergeCell ref="A47:O47"/>
    <mergeCell ref="A48:O48"/>
    <mergeCell ref="B68:C68"/>
    <mergeCell ref="A50:O50"/>
    <mergeCell ref="A51:O51"/>
    <mergeCell ref="I58:J58"/>
    <mergeCell ref="A66:A67"/>
    <mergeCell ref="B66:C67"/>
    <mergeCell ref="D66:D67"/>
    <mergeCell ref="E66:E67"/>
    <mergeCell ref="F66:F67"/>
    <mergeCell ref="G66:G67"/>
    <mergeCell ref="H66:H67"/>
    <mergeCell ref="I66:I67"/>
    <mergeCell ref="J66:J67"/>
    <mergeCell ref="K66:L66"/>
    <mergeCell ref="M66:N66"/>
    <mergeCell ref="O66:O67"/>
    <mergeCell ref="K79:O79"/>
    <mergeCell ref="A80:E80"/>
    <mergeCell ref="K82:O82"/>
    <mergeCell ref="K84:O84"/>
    <mergeCell ref="B69:C69"/>
    <mergeCell ref="B70:C70"/>
    <mergeCell ref="A71:F71"/>
    <mergeCell ref="K72:N72"/>
    <mergeCell ref="K73:N73"/>
    <mergeCell ref="K74:N74"/>
  </mergeCells>
  <pageMargins left="0.23622047244094491" right="0.23622047244094491" top="2.3228346456692917" bottom="0.74803149606299213" header="0.31496062992125984" footer="0.31496062992125984"/>
  <pageSetup paperSize="9"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E083-87E4-46FF-8F23-C3D8FFBE96CC}">
  <sheetPr>
    <pageSetUpPr fitToPage="1"/>
  </sheetPr>
  <dimension ref="A1:N39"/>
  <sheetViews>
    <sheetView workbookViewId="0">
      <selection sqref="A1:N39"/>
    </sheetView>
  </sheetViews>
  <sheetFormatPr defaultRowHeight="15" x14ac:dyDescent="0.25"/>
  <cols>
    <col min="1" max="1" width="9.28515625" bestFit="1" customWidth="1"/>
    <col min="4" max="4" width="9.28515625" bestFit="1" customWidth="1"/>
    <col min="8" max="8" width="9.28515625" bestFit="1" customWidth="1"/>
    <col min="9" max="9" width="10.140625" bestFit="1" customWidth="1"/>
    <col min="10" max="10" width="9.28515625" bestFit="1" customWidth="1"/>
    <col min="11" max="11" width="10.140625" bestFit="1" customWidth="1"/>
    <col min="12" max="12" width="11" customWidth="1"/>
  </cols>
  <sheetData>
    <row r="1" spans="1:14" ht="15.75" x14ac:dyDescent="0.25">
      <c r="A1" s="158" t="s">
        <v>46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 ht="15.75" x14ac:dyDescent="0.25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1:14" ht="15.75" x14ac:dyDescent="0.25">
      <c r="A3" s="225" t="s">
        <v>53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</row>
    <row r="4" spans="1:14" ht="15.75" x14ac:dyDescent="0.25">
      <c r="A4" s="225" t="s">
        <v>54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</row>
    <row r="5" spans="1:14" ht="15.75" x14ac:dyDescent="0.25">
      <c r="A5" s="159" t="s">
        <v>101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4" ht="15.75" x14ac:dyDescent="0.25">
      <c r="A6" s="159" t="s">
        <v>85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</row>
    <row r="7" spans="1:14" ht="15.75" x14ac:dyDescent="0.25">
      <c r="A7" s="55" t="s">
        <v>3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6"/>
    </row>
    <row r="8" spans="1:14" ht="15.75" x14ac:dyDescent="0.25">
      <c r="A8" s="55" t="s">
        <v>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6"/>
    </row>
    <row r="9" spans="1:14" ht="15.75" x14ac:dyDescent="0.25">
      <c r="A9" s="159" t="s">
        <v>55</v>
      </c>
      <c r="B9" s="159"/>
      <c r="C9" s="159"/>
      <c r="D9" s="159"/>
      <c r="E9" s="159"/>
      <c r="F9" s="159"/>
      <c r="G9" s="159"/>
      <c r="H9" s="159"/>
      <c r="I9" s="159"/>
      <c r="J9" s="159"/>
      <c r="K9" s="55"/>
      <c r="L9" s="55"/>
      <c r="M9" s="55"/>
      <c r="N9" s="56"/>
    </row>
    <row r="10" spans="1:14" ht="15.75" x14ac:dyDescent="0.25">
      <c r="A10" s="55" t="s">
        <v>7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6"/>
    </row>
    <row r="11" spans="1:14" ht="15.75" x14ac:dyDescent="0.25">
      <c r="A11" s="55" t="s">
        <v>8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6"/>
    </row>
    <row r="12" spans="1:14" ht="15.75" x14ac:dyDescent="0.25">
      <c r="A12" s="55" t="s">
        <v>10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/>
    </row>
    <row r="13" spans="1:14" ht="15.75" x14ac:dyDescent="0.25">
      <c r="A13" s="58" t="s">
        <v>11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15.75" x14ac:dyDescent="0.25">
      <c r="A14" s="58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</row>
    <row r="15" spans="1:14" ht="15.75" x14ac:dyDescent="0.25">
      <c r="A15" s="58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</row>
    <row r="16" spans="1:14" ht="15.75" x14ac:dyDescent="0.25">
      <c r="A16" s="225" t="s">
        <v>102</v>
      </c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56"/>
      <c r="N16" s="56"/>
    </row>
    <row r="17" spans="1:14" ht="16.5" thickBot="1" x14ac:dyDescent="0.3">
      <c r="A17" s="58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</row>
    <row r="18" spans="1:14" ht="15.75" x14ac:dyDescent="0.25">
      <c r="A18" s="160" t="s">
        <v>49</v>
      </c>
      <c r="B18" s="162" t="s">
        <v>16</v>
      </c>
      <c r="C18" s="173"/>
      <c r="D18" s="164" t="s">
        <v>17</v>
      </c>
      <c r="E18" s="164" t="s">
        <v>18</v>
      </c>
      <c r="F18" s="149" t="s">
        <v>22</v>
      </c>
      <c r="G18" s="149" t="s">
        <v>23</v>
      </c>
      <c r="H18" s="79" t="s">
        <v>24</v>
      </c>
      <c r="I18" s="80"/>
      <c r="J18" s="151" t="s">
        <v>25</v>
      </c>
      <c r="K18" s="152"/>
      <c r="L18" s="153" t="s">
        <v>26</v>
      </c>
      <c r="M18" s="56"/>
      <c r="N18" s="56"/>
    </row>
    <row r="19" spans="1:14" ht="16.5" thickBot="1" x14ac:dyDescent="0.3">
      <c r="A19" s="161"/>
      <c r="B19" s="163"/>
      <c r="C19" s="241"/>
      <c r="D19" s="166"/>
      <c r="E19" s="166"/>
      <c r="F19" s="150"/>
      <c r="G19" s="150"/>
      <c r="H19" s="109" t="s">
        <v>27</v>
      </c>
      <c r="I19" s="109" t="s">
        <v>28</v>
      </c>
      <c r="J19" s="109" t="s">
        <v>27</v>
      </c>
      <c r="K19" s="109" t="s">
        <v>28</v>
      </c>
      <c r="L19" s="154"/>
      <c r="M19" s="56"/>
      <c r="N19" s="56"/>
    </row>
    <row r="20" spans="1:14" ht="15.75" x14ac:dyDescent="0.25">
      <c r="A20" s="110">
        <v>1</v>
      </c>
      <c r="B20" s="240" t="s">
        <v>56</v>
      </c>
      <c r="C20" s="240"/>
      <c r="D20" s="118">
        <v>996713</v>
      </c>
      <c r="E20" s="119" t="s">
        <v>57</v>
      </c>
      <c r="F20" s="113">
        <v>15000</v>
      </c>
      <c r="G20" s="113">
        <f>+F20</f>
        <v>15000</v>
      </c>
      <c r="H20" s="120">
        <v>0.09</v>
      </c>
      <c r="I20" s="121">
        <f>+G20*H20</f>
        <v>1350</v>
      </c>
      <c r="J20" s="120">
        <v>0.09</v>
      </c>
      <c r="K20" s="121">
        <f>+G20*J20</f>
        <v>1350</v>
      </c>
      <c r="L20" s="122">
        <f>+G20</f>
        <v>15000</v>
      </c>
      <c r="M20" s="56"/>
      <c r="N20" s="56"/>
    </row>
    <row r="21" spans="1:14" ht="15.75" x14ac:dyDescent="0.25">
      <c r="A21" s="92"/>
      <c r="B21" s="180"/>
      <c r="C21" s="180"/>
      <c r="D21" s="84"/>
      <c r="E21" s="93"/>
      <c r="F21" s="83"/>
      <c r="G21" s="87"/>
      <c r="H21" s="89"/>
      <c r="I21" s="90"/>
      <c r="J21" s="89"/>
      <c r="K21" s="90"/>
      <c r="L21" s="94"/>
      <c r="M21" s="56"/>
      <c r="N21" s="56"/>
    </row>
    <row r="22" spans="1:14" ht="15.75" x14ac:dyDescent="0.25">
      <c r="A22" s="92"/>
      <c r="B22" s="180"/>
      <c r="C22" s="180"/>
      <c r="D22" s="84"/>
      <c r="E22" s="93"/>
      <c r="F22" s="83"/>
      <c r="G22" s="87"/>
      <c r="H22" s="89"/>
      <c r="I22" s="90"/>
      <c r="J22" s="89"/>
      <c r="K22" s="90"/>
      <c r="L22" s="94"/>
      <c r="M22" s="56"/>
      <c r="N22" s="56"/>
    </row>
    <row r="23" spans="1:14" ht="16.5" thickBot="1" x14ac:dyDescent="0.3">
      <c r="A23" s="226" t="s">
        <v>26</v>
      </c>
      <c r="B23" s="227"/>
      <c r="C23" s="227"/>
      <c r="D23" s="227"/>
      <c r="E23" s="227"/>
      <c r="F23" s="228"/>
      <c r="G23" s="95"/>
      <c r="H23" s="97"/>
      <c r="I23" s="96">
        <f>SUM(I20:I22)</f>
        <v>1350</v>
      </c>
      <c r="J23" s="97"/>
      <c r="K23" s="96">
        <f>SUM(K20:K22)</f>
        <v>1350</v>
      </c>
      <c r="L23" s="98"/>
      <c r="M23" s="56"/>
      <c r="N23" s="56"/>
    </row>
    <row r="24" spans="1:14" ht="15.75" x14ac:dyDescent="0.25">
      <c r="A24" s="55"/>
      <c r="B24" s="55"/>
      <c r="C24" s="55"/>
      <c r="D24" s="55"/>
      <c r="E24" s="55"/>
      <c r="F24" s="55"/>
      <c r="G24" s="55"/>
      <c r="H24" s="65" t="s">
        <v>35</v>
      </c>
      <c r="I24" s="66"/>
      <c r="J24" s="66"/>
      <c r="K24" s="67"/>
      <c r="L24" s="99">
        <f>+L20</f>
        <v>15000</v>
      </c>
      <c r="M24" s="56"/>
      <c r="N24" s="56"/>
    </row>
    <row r="25" spans="1:14" ht="15.75" x14ac:dyDescent="0.25">
      <c r="A25" s="55"/>
      <c r="B25" s="55"/>
      <c r="C25" s="55"/>
      <c r="D25" s="55"/>
      <c r="E25" s="55"/>
      <c r="F25" s="55"/>
      <c r="G25" s="55"/>
      <c r="H25" s="68" t="s">
        <v>37</v>
      </c>
      <c r="I25" s="69"/>
      <c r="J25" s="69"/>
      <c r="K25" s="70"/>
      <c r="L25" s="100">
        <f>K23+I23</f>
        <v>2700</v>
      </c>
      <c r="M25" s="56"/>
      <c r="N25" s="56"/>
    </row>
    <row r="26" spans="1:14" ht="16.5" thickBot="1" x14ac:dyDescent="0.3">
      <c r="A26" s="55"/>
      <c r="B26" s="55"/>
      <c r="C26" s="55"/>
      <c r="D26" s="55"/>
      <c r="E26" s="55"/>
      <c r="F26" s="55"/>
      <c r="G26" s="55"/>
      <c r="H26" s="71" t="s">
        <v>38</v>
      </c>
      <c r="I26" s="72"/>
      <c r="J26" s="72"/>
      <c r="K26" s="73"/>
      <c r="L26" s="74">
        <f>L24+L25</f>
        <v>17700</v>
      </c>
      <c r="M26" s="56"/>
      <c r="N26" s="56"/>
    </row>
    <row r="27" spans="1:14" ht="15.75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6"/>
      <c r="K27" s="56"/>
      <c r="L27" s="56"/>
      <c r="M27" s="56"/>
      <c r="N27" s="75"/>
    </row>
    <row r="28" spans="1:14" ht="15.75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6"/>
      <c r="K28" s="56"/>
      <c r="L28" s="56"/>
      <c r="M28" s="56"/>
      <c r="N28" s="75"/>
    </row>
    <row r="29" spans="1:14" ht="15.75" x14ac:dyDescent="0.25">
      <c r="A29" s="107" t="s">
        <v>77</v>
      </c>
      <c r="B29" s="57"/>
      <c r="C29" s="57"/>
      <c r="D29" s="57"/>
      <c r="E29" s="57"/>
      <c r="F29" s="57"/>
      <c r="G29" s="57"/>
      <c r="H29" s="57"/>
      <c r="I29" s="57"/>
      <c r="J29" s="56"/>
      <c r="K29" s="56"/>
      <c r="L29" s="56"/>
      <c r="M29" s="56"/>
      <c r="N29" s="75"/>
    </row>
    <row r="30" spans="1:14" ht="15.75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spans="1:14" ht="15.75" x14ac:dyDescent="0.25">
      <c r="A31" s="2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25"/>
      <c r="N31" s="225"/>
    </row>
    <row r="32" spans="1:14" ht="15.75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5"/>
      <c r="K32" s="55"/>
      <c r="L32" s="55"/>
      <c r="M32" s="55"/>
      <c r="N32" s="55"/>
    </row>
    <row r="33" spans="1:14" ht="15.75" x14ac:dyDescent="0.25">
      <c r="A33" s="56" t="s">
        <v>58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spans="1:14" ht="15.75" x14ac:dyDescent="0.25">
      <c r="A34" s="105"/>
      <c r="B34" s="106" t="s">
        <v>40</v>
      </c>
      <c r="C34" s="61"/>
      <c r="D34" s="61"/>
      <c r="E34" s="61"/>
      <c r="F34" s="61"/>
      <c r="G34" s="61"/>
      <c r="H34" s="61"/>
      <c r="I34" s="61"/>
      <c r="J34" s="61"/>
      <c r="K34" s="56"/>
      <c r="L34" s="56"/>
      <c r="M34" s="56"/>
      <c r="N34" s="56"/>
    </row>
    <row r="35" spans="1:14" ht="15.75" x14ac:dyDescent="0.25">
      <c r="A35" s="56"/>
      <c r="B35" s="56"/>
      <c r="C35" s="56"/>
      <c r="D35" s="56"/>
      <c r="E35" s="56"/>
      <c r="F35" s="56"/>
      <c r="G35" s="56"/>
      <c r="H35" s="56"/>
      <c r="I35" s="56"/>
      <c r="J35" s="55" t="s">
        <v>59</v>
      </c>
      <c r="K35" s="55"/>
      <c r="L35" s="55"/>
      <c r="M35" s="55"/>
      <c r="N35" s="55"/>
    </row>
    <row r="36" spans="1:14" ht="15.75" x14ac:dyDescent="0.25">
      <c r="A36" s="56"/>
      <c r="B36" s="62" t="s">
        <v>41</v>
      </c>
      <c r="C36" s="62"/>
      <c r="D36" s="62" t="s">
        <v>42</v>
      </c>
      <c r="E36" s="56"/>
      <c r="F36" s="58"/>
      <c r="G36" s="58"/>
      <c r="H36" s="58"/>
      <c r="I36" s="58"/>
      <c r="J36" s="56"/>
      <c r="K36" s="56"/>
      <c r="L36" s="56"/>
      <c r="M36" s="56"/>
      <c r="N36" s="56"/>
    </row>
    <row r="37" spans="1:14" ht="15.75" x14ac:dyDescent="0.25">
      <c r="A37" s="56"/>
      <c r="B37" s="62" t="s">
        <v>43</v>
      </c>
      <c r="C37" s="56"/>
      <c r="D37" s="78" t="s">
        <v>90</v>
      </c>
      <c r="E37" s="56"/>
      <c r="F37" s="56"/>
      <c r="G37" s="56"/>
      <c r="H37" s="56"/>
      <c r="I37" s="56"/>
      <c r="J37" s="56" t="s">
        <v>44</v>
      </c>
      <c r="K37" s="56"/>
      <c r="L37" s="56"/>
      <c r="M37" s="56"/>
      <c r="N37" s="56"/>
    </row>
    <row r="38" spans="1:14" ht="15.75" x14ac:dyDescent="0.25">
      <c r="A38" s="56"/>
      <c r="B38" s="62" t="s">
        <v>45</v>
      </c>
      <c r="C38" s="56"/>
      <c r="D38" s="78" t="s">
        <v>90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</row>
    <row r="39" spans="1:14" ht="15.75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</sheetData>
  <mergeCells count="22">
    <mergeCell ref="A6:N6"/>
    <mergeCell ref="A1:N1"/>
    <mergeCell ref="A2:N2"/>
    <mergeCell ref="A3:N3"/>
    <mergeCell ref="A4:N4"/>
    <mergeCell ref="A5:N5"/>
    <mergeCell ref="M31:N31"/>
    <mergeCell ref="A9:J9"/>
    <mergeCell ref="A16:L16"/>
    <mergeCell ref="A18:A19"/>
    <mergeCell ref="B18:C19"/>
    <mergeCell ref="D18:D19"/>
    <mergeCell ref="E18:E19"/>
    <mergeCell ref="F18:F19"/>
    <mergeCell ref="G18:G19"/>
    <mergeCell ref="J18:K18"/>
    <mergeCell ref="L18:L19"/>
    <mergeCell ref="B20:C20"/>
    <mergeCell ref="B21:C21"/>
    <mergeCell ref="B22:C22"/>
    <mergeCell ref="A23:F23"/>
    <mergeCell ref="A31:L31"/>
  </mergeCells>
  <pageMargins left="0.23622047244094488" right="0.23622047244094488" top="2.3228346456692912" bottom="0.74803149606299213" header="0.31496062992125984" footer="0.31496062992125984"/>
  <pageSetup paperSize="9"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A917-F733-415F-BF62-8D97B97EAC7D}">
  <sheetPr>
    <pageSetUpPr fitToPage="1"/>
  </sheetPr>
  <dimension ref="A1:N34"/>
  <sheetViews>
    <sheetView tabSelected="1" topLeftCell="A16" zoomScale="102" zoomScaleNormal="102" workbookViewId="0">
      <selection sqref="A1:N36"/>
    </sheetView>
  </sheetViews>
  <sheetFormatPr defaultRowHeight="15" x14ac:dyDescent="0.25"/>
  <cols>
    <col min="2" max="2" width="15.42578125" customWidth="1"/>
    <col min="3" max="3" width="14.140625" customWidth="1"/>
    <col min="9" max="9" width="11.28515625" customWidth="1"/>
    <col min="11" max="11" width="16.42578125" customWidth="1"/>
    <col min="13" max="13" width="15.140625" customWidth="1"/>
    <col min="14" max="14" width="21.140625" customWidth="1"/>
  </cols>
  <sheetData>
    <row r="1" spans="1:14" ht="15.75" x14ac:dyDescent="0.25">
      <c r="A1" s="158" t="s">
        <v>46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 ht="15.75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ht="15.75" x14ac:dyDescent="0.25">
      <c r="A3" s="159" t="s">
        <v>106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4" ht="15.75" x14ac:dyDescent="0.25">
      <c r="A4" s="159" t="s">
        <v>107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4" ht="15.75" x14ac:dyDescent="0.25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6"/>
    </row>
    <row r="6" spans="1:14" ht="15.75" x14ac:dyDescent="0.25">
      <c r="A6" s="55" t="s">
        <v>4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6"/>
    </row>
    <row r="7" spans="1:14" ht="15.75" x14ac:dyDescent="0.25">
      <c r="A7" s="55" t="s">
        <v>5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6"/>
    </row>
    <row r="8" spans="1:14" ht="15.75" x14ac:dyDescent="0.25">
      <c r="A8" s="55" t="s">
        <v>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6"/>
    </row>
    <row r="9" spans="1:14" ht="15.75" x14ac:dyDescent="0.25">
      <c r="A9" s="55" t="s">
        <v>7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6"/>
    </row>
    <row r="10" spans="1:14" ht="15.75" x14ac:dyDescent="0.25">
      <c r="A10" s="55" t="s">
        <v>8</v>
      </c>
      <c r="B10" s="55"/>
      <c r="C10" s="55"/>
      <c r="D10" s="55"/>
      <c r="E10" s="55"/>
      <c r="F10" s="55"/>
      <c r="G10" s="55"/>
      <c r="H10" s="55" t="s">
        <v>47</v>
      </c>
      <c r="I10" s="55"/>
      <c r="J10" s="55"/>
      <c r="K10" s="55"/>
      <c r="L10" s="55"/>
      <c r="M10" s="55"/>
      <c r="N10" s="56"/>
    </row>
    <row r="11" spans="1:14" ht="15.75" x14ac:dyDescent="0.25">
      <c r="A11" s="55" t="s">
        <v>10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6"/>
    </row>
    <row r="12" spans="1:14" ht="15.75" x14ac:dyDescent="0.25">
      <c r="A12" s="58" t="s">
        <v>11</v>
      </c>
      <c r="B12" s="56"/>
      <c r="C12" s="56"/>
      <c r="D12" s="56"/>
      <c r="E12" s="56"/>
      <c r="F12" s="56"/>
      <c r="G12" s="56" t="s">
        <v>60</v>
      </c>
      <c r="H12" s="56"/>
      <c r="I12" s="56"/>
      <c r="J12" s="56"/>
      <c r="K12" s="56"/>
      <c r="L12" s="56"/>
      <c r="M12" s="56"/>
      <c r="N12" s="56"/>
    </row>
    <row r="13" spans="1:14" ht="15.75" x14ac:dyDescent="0.25">
      <c r="A13" s="58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15.75" x14ac:dyDescent="0.25">
      <c r="A14" s="59" t="s">
        <v>13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</row>
    <row r="15" spans="1:14" ht="15.75" x14ac:dyDescent="0.25">
      <c r="A15" s="58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</row>
    <row r="16" spans="1:14" ht="15.75" x14ac:dyDescent="0.25">
      <c r="A16" s="58"/>
      <c r="B16" s="123" t="s">
        <v>108</v>
      </c>
      <c r="C16" s="59"/>
      <c r="D16" s="59"/>
      <c r="E16" s="59"/>
      <c r="F16" s="56"/>
      <c r="G16" s="56"/>
      <c r="H16" s="56"/>
      <c r="I16" s="56"/>
      <c r="J16" s="56"/>
      <c r="K16" s="56"/>
      <c r="L16" s="56"/>
      <c r="M16" s="56"/>
      <c r="N16" s="56"/>
    </row>
    <row r="17" spans="1:14" ht="15.75" x14ac:dyDescent="0.25">
      <c r="A17" s="58"/>
      <c r="B17" s="59"/>
      <c r="C17" s="59"/>
      <c r="D17" s="60"/>
      <c r="E17" s="60"/>
      <c r="F17" s="56"/>
      <c r="G17" s="56"/>
      <c r="H17" s="56"/>
      <c r="I17" s="56"/>
      <c r="J17" s="56"/>
      <c r="K17" s="56"/>
      <c r="L17" s="56"/>
      <c r="M17" s="56"/>
      <c r="N17" s="56"/>
    </row>
    <row r="18" spans="1:14" ht="16.5" thickBot="1" x14ac:dyDescent="0.3">
      <c r="A18" s="58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</row>
    <row r="19" spans="1:14" ht="15.75" x14ac:dyDescent="0.25">
      <c r="A19" s="160" t="s">
        <v>49</v>
      </c>
      <c r="B19" s="162" t="s">
        <v>16</v>
      </c>
      <c r="C19" s="164" t="s">
        <v>17</v>
      </c>
      <c r="D19" s="164" t="s">
        <v>18</v>
      </c>
      <c r="E19" s="149" t="s">
        <v>19</v>
      </c>
      <c r="F19" s="167" t="s">
        <v>20</v>
      </c>
      <c r="G19" s="149" t="s">
        <v>21</v>
      </c>
      <c r="H19" s="149" t="s">
        <v>22</v>
      </c>
      <c r="I19" s="149" t="s">
        <v>23</v>
      </c>
      <c r="J19" s="151" t="s">
        <v>24</v>
      </c>
      <c r="K19" s="152"/>
      <c r="L19" s="151" t="s">
        <v>25</v>
      </c>
      <c r="M19" s="152"/>
      <c r="N19" s="153" t="s">
        <v>26</v>
      </c>
    </row>
    <row r="20" spans="1:14" ht="16.5" thickBot="1" x14ac:dyDescent="0.3">
      <c r="A20" s="161"/>
      <c r="B20" s="163"/>
      <c r="C20" s="165"/>
      <c r="D20" s="166"/>
      <c r="E20" s="150"/>
      <c r="F20" s="168"/>
      <c r="G20" s="150"/>
      <c r="H20" s="150"/>
      <c r="I20" s="150"/>
      <c r="J20" s="109" t="s">
        <v>27</v>
      </c>
      <c r="K20" s="109" t="s">
        <v>28</v>
      </c>
      <c r="L20" s="109" t="s">
        <v>27</v>
      </c>
      <c r="M20" s="109" t="s">
        <v>28</v>
      </c>
      <c r="N20" s="154"/>
    </row>
    <row r="21" spans="1:14" ht="47.25" x14ac:dyDescent="0.25">
      <c r="A21" s="110">
        <v>1</v>
      </c>
      <c r="B21" s="124" t="s">
        <v>109</v>
      </c>
      <c r="C21" s="125">
        <v>997212</v>
      </c>
      <c r="D21" s="81"/>
      <c r="E21" s="126">
        <v>0</v>
      </c>
      <c r="F21" s="126"/>
      <c r="G21" s="126">
        <v>0</v>
      </c>
      <c r="H21" s="127">
        <v>16538</v>
      </c>
      <c r="I21" s="127">
        <f>H21</f>
        <v>16538</v>
      </c>
      <c r="J21" s="120">
        <v>0.09</v>
      </c>
      <c r="K21" s="128">
        <f>H21*9%</f>
        <v>1488.4199999999998</v>
      </c>
      <c r="L21" s="120">
        <v>0.09</v>
      </c>
      <c r="M21" s="128">
        <f>H21*9%</f>
        <v>1488.4199999999998</v>
      </c>
      <c r="N21" s="129">
        <f>+M21+K21+I21</f>
        <v>19514.84</v>
      </c>
    </row>
    <row r="22" spans="1:14" ht="15.75" x14ac:dyDescent="0.25">
      <c r="A22" s="92"/>
      <c r="B22" s="130"/>
      <c r="C22" s="84"/>
      <c r="D22" s="93"/>
      <c r="E22" s="83"/>
      <c r="F22" s="131"/>
      <c r="G22" s="131"/>
      <c r="H22" s="132"/>
      <c r="I22" s="132"/>
      <c r="J22" s="89"/>
      <c r="K22" s="133"/>
      <c r="L22" s="89"/>
      <c r="M22" s="133"/>
      <c r="N22" s="134"/>
    </row>
    <row r="23" spans="1:14" ht="16.5" thickBot="1" x14ac:dyDescent="0.3">
      <c r="A23" s="155"/>
      <c r="B23" s="156"/>
      <c r="C23" s="156"/>
      <c r="D23" s="156"/>
      <c r="E23" s="157"/>
      <c r="F23" s="135"/>
      <c r="G23" s="135"/>
      <c r="H23" s="136"/>
      <c r="I23" s="136">
        <f>SUM(I21:I22)</f>
        <v>16538</v>
      </c>
      <c r="J23" s="97"/>
      <c r="K23" s="136">
        <f>SUM(K21:K22)</f>
        <v>1488.4199999999998</v>
      </c>
      <c r="L23" s="97"/>
      <c r="M23" s="136">
        <f>SUM(M21:M22)</f>
        <v>1488.4199999999998</v>
      </c>
      <c r="N23" s="137"/>
    </row>
    <row r="24" spans="1:14" ht="15.75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140" t="s">
        <v>35</v>
      </c>
      <c r="K24" s="141"/>
      <c r="L24" s="141"/>
      <c r="M24" s="142"/>
      <c r="N24" s="138">
        <f>I23</f>
        <v>16538</v>
      </c>
    </row>
    <row r="25" spans="1:14" ht="15.75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143" t="s">
        <v>37</v>
      </c>
      <c r="K25" s="144"/>
      <c r="L25" s="144"/>
      <c r="M25" s="145"/>
      <c r="N25" s="139">
        <f>M23+K23</f>
        <v>2976.8399999999997</v>
      </c>
    </row>
    <row r="26" spans="1:14" ht="16.5" thickBot="1" x14ac:dyDescent="0.3">
      <c r="A26" s="55"/>
      <c r="B26" s="55"/>
      <c r="C26" s="55"/>
      <c r="D26" s="55"/>
      <c r="E26" s="55"/>
      <c r="F26" s="55"/>
      <c r="G26" s="55"/>
      <c r="H26" s="55"/>
      <c r="I26" s="55"/>
      <c r="J26" s="146" t="s">
        <v>38</v>
      </c>
      <c r="K26" s="147"/>
      <c r="L26" s="147"/>
      <c r="M26" s="148"/>
      <c r="N26" s="74">
        <f>N24+N25</f>
        <v>19514.84</v>
      </c>
    </row>
    <row r="27" spans="1:14" ht="15.75" x14ac:dyDescent="0.25">
      <c r="A27" s="107" t="s">
        <v>111</v>
      </c>
      <c r="B27" s="57"/>
      <c r="C27" s="57"/>
      <c r="D27" s="57"/>
      <c r="E27" s="57"/>
      <c r="F27" s="57"/>
      <c r="G27" s="57"/>
      <c r="H27" s="55"/>
      <c r="I27" s="55"/>
      <c r="J27" s="56"/>
      <c r="K27" s="56"/>
      <c r="L27" s="56"/>
      <c r="M27" s="56"/>
      <c r="N27" s="75"/>
    </row>
    <row r="28" spans="1:14" ht="15.75" x14ac:dyDescent="0.25">
      <c r="A28" s="55" t="s">
        <v>61</v>
      </c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56"/>
      <c r="N28" s="75"/>
    </row>
    <row r="29" spans="1:14" ht="15.75" x14ac:dyDescent="0.25">
      <c r="A29" s="55" t="s">
        <v>62</v>
      </c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75"/>
    </row>
    <row r="30" spans="1:14" ht="15.75" x14ac:dyDescent="0.25">
      <c r="A30" s="55"/>
      <c r="B30" s="55" t="s">
        <v>63</v>
      </c>
      <c r="C30" s="55" t="s">
        <v>64</v>
      </c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75"/>
    </row>
    <row r="31" spans="1:14" ht="15.75" x14ac:dyDescent="0.25">
      <c r="A31" s="57"/>
      <c r="B31" s="57" t="s">
        <v>43</v>
      </c>
      <c r="C31" s="78" t="s">
        <v>110</v>
      </c>
      <c r="D31" s="57"/>
      <c r="E31" s="57"/>
      <c r="F31" s="57"/>
      <c r="G31" s="57"/>
      <c r="H31" s="55"/>
      <c r="I31" s="55"/>
      <c r="J31" s="56"/>
      <c r="K31" s="56"/>
      <c r="L31" s="56"/>
      <c r="M31" s="56"/>
      <c r="N31" s="75"/>
    </row>
    <row r="32" spans="1:14" ht="15.75" x14ac:dyDescent="0.25">
      <c r="A32" s="57"/>
      <c r="B32" s="57" t="s">
        <v>45</v>
      </c>
      <c r="C32" s="78" t="s">
        <v>110</v>
      </c>
      <c r="D32" s="57"/>
      <c r="E32" s="57"/>
      <c r="F32" s="57"/>
      <c r="G32" s="57"/>
      <c r="H32" s="55"/>
      <c r="I32" s="55"/>
      <c r="J32" s="56"/>
      <c r="K32" s="56"/>
      <c r="L32" s="56"/>
      <c r="M32" s="56"/>
      <c r="N32" s="75"/>
    </row>
    <row r="33" spans="1:14" ht="15.75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spans="1:14" ht="15.75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</row>
  </sheetData>
  <mergeCells count="19">
    <mergeCell ref="N19:N20"/>
    <mergeCell ref="A23:E23"/>
    <mergeCell ref="A1:N1"/>
    <mergeCell ref="A3:N3"/>
    <mergeCell ref="A4:N4"/>
    <mergeCell ref="A19:A20"/>
    <mergeCell ref="B19:B20"/>
    <mergeCell ref="C19:C20"/>
    <mergeCell ref="D19:D20"/>
    <mergeCell ref="E19:E20"/>
    <mergeCell ref="F19:F20"/>
    <mergeCell ref="G19:G20"/>
    <mergeCell ref="J24:M24"/>
    <mergeCell ref="J25:M25"/>
    <mergeCell ref="J26:M26"/>
    <mergeCell ref="H19:H20"/>
    <mergeCell ref="I19:I20"/>
    <mergeCell ref="J19:K19"/>
    <mergeCell ref="L19:M19"/>
  </mergeCells>
  <pageMargins left="0.23622047244094488" right="0.23622047244094488" top="2.2834645669291338" bottom="0.74803149606299213" header="0.31496062992125984" footer="0.31496062992125984"/>
  <pageSetup paperSize="9" scale="5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LOADING</vt:lpstr>
      <vt:lpstr>GODOWN</vt:lpstr>
      <vt:lpstr>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Paramveer Singh</dc:creator>
  <cp:lastModifiedBy>Paramveer Singh</cp:lastModifiedBy>
  <cp:lastPrinted>2026-04-06T08:28:51Z</cp:lastPrinted>
  <dcterms:created xsi:type="dcterms:W3CDTF">2025-08-18T12:25:19Z</dcterms:created>
  <dcterms:modified xsi:type="dcterms:W3CDTF">2026-04-06T08:29:31Z</dcterms:modified>
</cp:coreProperties>
</file>